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設定" sheetId="2" state="visible" r:id="rId4"/>
    <sheet name="露出ログ" sheetId="3" state="visible" r:id="rId5"/>
    <sheet name="集計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WenQuanYi Zen Hei"/>
            <family val="2"/>
          </rPr>
          <t xml:space="preserve">重みは自由に変更できます。初期値は作成者による仮置きで、業界標準の数値ではありません。</t>
        </r>
      </text>
    </comment>
    <comment ref="B38" authorId="0">
      <text>
        <r>
          <rPr>
            <sz val="10"/>
            <rFont val="WenQuanYi Zen Hei"/>
            <family val="2"/>
          </rPr>
          <t xml:space="preserve">係数は仮置きです。ネガティブ記事を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点扱いにしたい場合は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にしてください。</t>
        </r>
      </text>
    </comment>
  </commentList>
</comments>
</file>

<file path=xl/sharedStrings.xml><?xml version="1.0" encoding="utf-8"?>
<sst xmlns="http://schemas.openxmlformats.org/spreadsheetml/2006/main" count="222" uniqueCount="168">
  <si>
    <r>
      <rPr>
        <b val="true"/>
        <sz val="14"/>
        <rFont val="Arial"/>
        <family val="0"/>
        <charset val="1"/>
      </rPr>
      <t xml:space="preserve">PR</t>
    </r>
    <r>
      <rPr>
        <b val="true"/>
        <sz val="14"/>
        <rFont val="WenQuanYi Zen Hei"/>
        <family val="2"/>
      </rPr>
      <t xml:space="preserve">スコアリングモデル</t>
    </r>
  </si>
  <si>
    <r>
      <rPr>
        <sz val="11"/>
        <rFont val="WenQuanYi Zen Hei"/>
        <family val="2"/>
      </rPr>
      <t xml:space="preserve">記事や番組での露出を、企業ごとの方針に沿って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件ずつ点数化し、月別・媒体別に集計するためのシートです。</t>
    </r>
  </si>
  <si>
    <t xml:space="preserve">■ 使い方</t>
  </si>
  <si>
    <r>
      <rPr>
        <sz val="11"/>
        <rFont val="Arial"/>
        <family val="0"/>
        <charset val="1"/>
      </rPr>
      <t xml:space="preserve">1. </t>
    </r>
    <r>
      <rPr>
        <sz val="11"/>
        <rFont val="WenQuanYi Zen Hei"/>
        <family val="2"/>
      </rPr>
      <t xml:space="preserve">「設定」シートの黄色セルを、自社の方針に合わせて変更します（重み、媒体ランクの基準、論調係数など）。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</si>
  <si>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WenQuanYi Zen Hei"/>
        <family val="2"/>
      </rPr>
      <t xml:space="preserve">「露出ログ」シートに掲載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件につき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行を入力します。黄色の列が入力欄で、選択肢のある列はプルダウンから選べます。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</si>
  <si>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WenQuanYi Zen Hei"/>
        <family val="2"/>
      </rPr>
      <t xml:space="preserve">灰色の列（媒体影響力点〜判定）は自動で計算されます。ここには入力しないでください。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</si>
  <si>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WenQuanYi Zen Hei"/>
        <family val="2"/>
      </rPr>
      <t xml:space="preserve">「集計」シートで、月別推移、媒体種別ごとの内訳、判定ごとの件数を確認できます。開始月だけ入力してください。</t>
    </r>
  </si>
  <si>
    <t xml:space="preserve">■ 点数の仕組み</t>
  </si>
  <si>
    <r>
      <rPr>
        <sz val="11"/>
        <rFont val="WenQuanYi Zen Hei"/>
        <family val="2"/>
      </rPr>
      <t xml:space="preserve">各評価項目を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点で採点し、「設定」の重みで加重平均したものが基礎点（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）です。</t>
    </r>
  </si>
  <si>
    <r>
      <rPr>
        <sz val="11"/>
        <rFont val="Arial"/>
        <family val="0"/>
        <charset val="1"/>
      </rPr>
      <t xml:space="preserve">PR</t>
    </r>
    <r>
      <rPr>
        <sz val="11"/>
        <rFont val="WenQuanYi Zen Hei"/>
        <family val="2"/>
      </rPr>
      <t xml:space="preserve">スコア ＝ 基礎点 </t>
    </r>
    <r>
      <rPr>
        <sz val="11"/>
        <rFont val="Arial"/>
        <family val="0"/>
        <charset val="1"/>
      </rPr>
      <t xml:space="preserve">× </t>
    </r>
    <r>
      <rPr>
        <sz val="11"/>
        <rFont val="WenQuanYi Zen Hei"/>
        <family val="2"/>
      </rPr>
      <t xml:space="preserve">論調係数。ネガティブ係数をマイナスにしておくと、リスク記事がマイナス点として集計で目立ちます。</t>
    </r>
  </si>
  <si>
    <r>
      <rPr>
        <sz val="11"/>
        <rFont val="WenQuanYi Zen Hei"/>
        <family val="2"/>
      </rPr>
      <t xml:space="preserve">到達規模と二次拡散は対数で配点します。部数や</t>
    </r>
    <r>
      <rPr>
        <sz val="11"/>
        <rFont val="Arial"/>
        <family val="0"/>
        <charset val="1"/>
      </rPr>
      <t xml:space="preserve">UU</t>
    </r>
    <r>
      <rPr>
        <sz val="11"/>
        <rFont val="WenQuanYi Zen Hei"/>
        <family val="2"/>
      </rPr>
      <t xml:space="preserve">が大きい媒体だけが突出せず、専門媒体での深い露出も評価に残ります。</t>
    </r>
  </si>
  <si>
    <t xml:space="preserve">■ セルの色</t>
  </si>
  <si>
    <t xml:space="preserve">黄色の背景・青字：入力または変更してよいセル　／　灰色の背景：自動計算　／　緑字：他シートの値を表示</t>
  </si>
  <si>
    <t xml:space="preserve">■ 注意</t>
  </si>
  <si>
    <t xml:space="preserve">初期値の重みや点数は、作成者による仮置きです。業界で標準化された数値ではないため、導入時に自社で調整してください。</t>
  </si>
  <si>
    <r>
      <rPr>
        <sz val="11"/>
        <rFont val="WenQuanYi Zen Hei"/>
        <family val="2"/>
      </rPr>
      <t xml:space="preserve">「露出ログ」は</t>
    </r>
    <r>
      <rPr>
        <sz val="11"/>
        <rFont val="Arial"/>
        <family val="0"/>
        <charset val="1"/>
      </rPr>
      <t xml:space="preserve">300</t>
    </r>
    <r>
      <rPr>
        <sz val="11"/>
        <rFont val="WenQuanYi Zen Hei"/>
        <family val="2"/>
      </rPr>
      <t xml:space="preserve">行まで計算式が入っています。足りない場合は最終行をコピーして下に貼り付けてください。</t>
    </r>
  </si>
  <si>
    <t xml:space="preserve">広告換算額のように金額へ置き換える指標ではありません。期をまたいだ比較や、施策どうしの比較に使う相対指標です。</t>
  </si>
  <si>
    <t xml:space="preserve">設定（自社の方針に合わせて黄色セルを自由に変更）</t>
  </si>
  <si>
    <r>
      <rPr>
        <b val="true"/>
        <sz val="11"/>
        <rFont val="Arial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評価項目の重み（合計が</t>
    </r>
    <r>
      <rPr>
        <b val="true"/>
        <sz val="11"/>
        <rFont val="Arial"/>
        <family val="0"/>
        <charset val="1"/>
      </rPr>
      <t xml:space="preserve">100%</t>
    </r>
    <r>
      <rPr>
        <b val="true"/>
        <sz val="11"/>
        <rFont val="WenQuanYi Zen Hei"/>
        <family val="2"/>
      </rPr>
      <t xml:space="preserve">でなくても自動で按分します）</t>
    </r>
  </si>
  <si>
    <t xml:space="preserve">評価項目</t>
  </si>
  <si>
    <t xml:space="preserve">重み</t>
  </si>
  <si>
    <t xml:space="preserve">何を測るか</t>
  </si>
  <si>
    <t xml:space="preserve">媒体影響力</t>
  </si>
  <si>
    <t xml:space="preserve">媒体の格（下の媒体ランク表）。信頼性や業界での影響力を反映</t>
  </si>
  <si>
    <t xml:space="preserve">到達規模</t>
  </si>
  <si>
    <r>
      <rPr>
        <sz val="11"/>
        <rFont val="WenQuanYi Zen Hei"/>
        <family val="2"/>
      </rPr>
      <t xml:space="preserve">部数、月間</t>
    </r>
    <r>
      <rPr>
        <sz val="11"/>
        <rFont val="Arial"/>
        <family val="0"/>
        <charset val="1"/>
      </rPr>
      <t xml:space="preserve">UU</t>
    </r>
    <r>
      <rPr>
        <sz val="11"/>
        <rFont val="WenQuanYi Zen Hei"/>
        <family val="2"/>
      </rPr>
      <t xml:space="preserve">、視聴者数など。対数で点数化するので大手媒体だけが突出しない</t>
    </r>
  </si>
  <si>
    <t xml:space="preserve">扱いの大きさ</t>
  </si>
  <si>
    <t xml:space="preserve">記事の主題か、一部で触れられただけか</t>
  </si>
  <si>
    <t xml:space="preserve">キーメッセージ伝達</t>
  </si>
  <si>
    <t xml:space="preserve">伝えたかった要点がいくつ記事に入ったか</t>
  </si>
  <si>
    <t xml:space="preserve">ターゲット適合</t>
  </si>
  <si>
    <t xml:space="preserve">読者・視聴者が自社の狙う層と合っているか</t>
  </si>
  <si>
    <t xml:space="preserve">ビジュアル</t>
  </si>
  <si>
    <t xml:space="preserve">写真やロゴが掲載されたか</t>
  </si>
  <si>
    <t xml:space="preserve">二次拡散</t>
  </si>
  <si>
    <r>
      <rPr>
        <sz val="11"/>
        <rFont val="Arial"/>
        <family val="0"/>
        <charset val="1"/>
      </rPr>
      <t xml:space="preserve">SNS</t>
    </r>
    <r>
      <rPr>
        <sz val="11"/>
        <rFont val="WenQuanYi Zen Hei"/>
        <family val="2"/>
      </rPr>
      <t xml:space="preserve">での共有数、他媒体への転載数など</t>
    </r>
  </si>
  <si>
    <t xml:space="preserve">合計</t>
  </si>
  <si>
    <r>
      <rPr>
        <b val="true"/>
        <sz val="11"/>
        <rFont val="Arial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媒体ランク表（点数 </t>
    </r>
    <r>
      <rPr>
        <b val="true"/>
        <sz val="11"/>
        <rFont val="Arial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〜</t>
    </r>
    <r>
      <rPr>
        <b val="true"/>
        <sz val="11"/>
        <rFont val="Arial"/>
        <family val="0"/>
        <charset val="1"/>
      </rPr>
      <t xml:space="preserve">100</t>
    </r>
    <r>
      <rPr>
        <b val="true"/>
        <sz val="11"/>
        <rFont val="WenQuanYi Zen Hei"/>
        <family val="2"/>
      </rPr>
      <t xml:space="preserve">）</t>
    </r>
  </si>
  <si>
    <t xml:space="preserve">ランク</t>
  </si>
  <si>
    <t xml:space="preserve">点数</t>
  </si>
  <si>
    <t xml:space="preserve">目安（自社の基準に書き換えてください）</t>
  </si>
  <si>
    <t xml:space="preserve">S</t>
  </si>
  <si>
    <t xml:space="preserve">全国紙の本紙、全国ネットのテレビ番組、業界トップの専門誌</t>
  </si>
  <si>
    <t xml:space="preserve">A</t>
  </si>
  <si>
    <t xml:space="preserve">ブロック紙、主要経済誌、大手ニュースサイト</t>
  </si>
  <si>
    <t xml:space="preserve">B</t>
  </si>
  <si>
    <r>
      <rPr>
        <sz val="11"/>
        <rFont val="WenQuanYi Zen Hei"/>
        <family val="2"/>
      </rPr>
      <t xml:space="preserve">地方紙、業界専門紙、専門</t>
    </r>
    <r>
      <rPr>
        <sz val="11"/>
        <rFont val="Arial"/>
        <family val="0"/>
        <charset val="1"/>
      </rPr>
      <t xml:space="preserve">Web</t>
    </r>
    <r>
      <rPr>
        <sz val="11"/>
        <rFont val="WenQuanYi Zen Hei"/>
        <family val="2"/>
      </rPr>
      <t xml:space="preserve">メディア</t>
    </r>
  </si>
  <si>
    <t xml:space="preserve">C</t>
  </si>
  <si>
    <r>
      <rPr>
        <sz val="11"/>
        <rFont val="WenQuanYi Zen Hei"/>
        <family val="2"/>
      </rPr>
      <t xml:space="preserve">フリーペーパー、ニッチな</t>
    </r>
    <r>
      <rPr>
        <sz val="11"/>
        <rFont val="Arial"/>
        <family val="0"/>
        <charset val="1"/>
      </rPr>
      <t xml:space="preserve">Web</t>
    </r>
    <r>
      <rPr>
        <sz val="11"/>
        <rFont val="WenQuanYi Zen Hei"/>
        <family val="2"/>
      </rPr>
      <t xml:space="preserve">メディア、ブログ型メディア</t>
    </r>
  </si>
  <si>
    <t xml:space="preserve">D</t>
  </si>
  <si>
    <t xml:space="preserve">配信サイトへの自動転載、まとめサイトなど</t>
  </si>
  <si>
    <r>
      <rPr>
        <b val="true"/>
        <sz val="11"/>
        <rFont val="Arial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扱いの大きさ（点数 </t>
    </r>
    <r>
      <rPr>
        <b val="true"/>
        <sz val="11"/>
        <rFont val="Arial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〜</t>
    </r>
    <r>
      <rPr>
        <b val="true"/>
        <sz val="11"/>
        <rFont val="Arial"/>
        <family val="0"/>
        <charset val="1"/>
      </rPr>
      <t xml:space="preserve">100</t>
    </r>
    <r>
      <rPr>
        <b val="true"/>
        <sz val="11"/>
        <rFont val="WenQuanYi Zen Hei"/>
        <family val="2"/>
      </rPr>
      <t xml:space="preserve">）</t>
    </r>
  </si>
  <si>
    <t xml:space="preserve">扱い</t>
  </si>
  <si>
    <t xml:space="preserve">目安</t>
  </si>
  <si>
    <t xml:space="preserve">主題</t>
  </si>
  <si>
    <t xml:space="preserve">見出しに社名・商品名が入り、記事全体が自社の話題</t>
  </si>
  <si>
    <t xml:space="preserve">大きく紹介</t>
  </si>
  <si>
    <t xml:space="preserve">複数社を扱う記事の中で、段落単位で紹介</t>
  </si>
  <si>
    <t xml:space="preserve">一部で言及</t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</si>
  <si>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文程度の言及</t>
    </r>
  </si>
  <si>
    <t xml:space="preserve">社名のみ</t>
  </si>
  <si>
    <t xml:space="preserve">社名や商品名が出るだけ</t>
  </si>
  <si>
    <r>
      <rPr>
        <b val="true"/>
        <sz val="11"/>
        <rFont val="Arial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ターゲット適合（点数 </t>
    </r>
    <r>
      <rPr>
        <b val="true"/>
        <sz val="11"/>
        <rFont val="Arial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〜</t>
    </r>
    <r>
      <rPr>
        <b val="true"/>
        <sz val="11"/>
        <rFont val="Arial"/>
        <family val="0"/>
        <charset val="1"/>
      </rPr>
      <t xml:space="preserve">100</t>
    </r>
    <r>
      <rPr>
        <b val="true"/>
        <sz val="11"/>
        <rFont val="WenQuanYi Zen Hei"/>
        <family val="2"/>
      </rPr>
      <t xml:space="preserve">）</t>
    </r>
  </si>
  <si>
    <t xml:space="preserve">適合度</t>
  </si>
  <si>
    <t xml:space="preserve">高</t>
  </si>
  <si>
    <t xml:space="preserve">読者層が自社の主要ターゲットとほぼ一致</t>
  </si>
  <si>
    <t xml:space="preserve">中</t>
  </si>
  <si>
    <t xml:space="preserve">一部が重なる</t>
  </si>
  <si>
    <t xml:space="preserve">低</t>
  </si>
  <si>
    <t xml:space="preserve">ほとんど重ならない</t>
  </si>
  <si>
    <r>
      <rPr>
        <b val="true"/>
        <sz val="11"/>
        <rFont val="Arial"/>
        <family val="0"/>
        <charset val="1"/>
      </rPr>
      <t xml:space="preserve">5. </t>
    </r>
    <r>
      <rPr>
        <b val="true"/>
        <sz val="11"/>
        <rFont val="WenQuanYi Zen Hei"/>
        <family val="2"/>
      </rPr>
      <t xml:space="preserve">ビジュアル（点数 </t>
    </r>
    <r>
      <rPr>
        <b val="true"/>
        <sz val="11"/>
        <rFont val="Arial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〜</t>
    </r>
    <r>
      <rPr>
        <b val="true"/>
        <sz val="11"/>
        <rFont val="Arial"/>
        <family val="0"/>
        <charset val="1"/>
      </rPr>
      <t xml:space="preserve">100</t>
    </r>
    <r>
      <rPr>
        <b val="true"/>
        <sz val="11"/>
        <rFont val="WenQuanYi Zen Hei"/>
        <family val="2"/>
      </rPr>
      <t xml:space="preserve">）</t>
    </r>
  </si>
  <si>
    <t xml:space="preserve">掲載内容</t>
  </si>
  <si>
    <r>
      <rPr>
        <sz val="11"/>
        <color rgb="FF0000FF"/>
        <rFont val="WenQuanYi Zen Hei"/>
        <family val="2"/>
      </rPr>
      <t xml:space="preserve">写真</t>
    </r>
    <r>
      <rPr>
        <sz val="11"/>
        <color rgb="FF0000FF"/>
        <rFont val="Arial"/>
        <family val="0"/>
        <charset val="1"/>
      </rPr>
      <t xml:space="preserve">+</t>
    </r>
    <r>
      <rPr>
        <sz val="11"/>
        <color rgb="FF0000FF"/>
        <rFont val="WenQuanYi Zen Hei"/>
        <family val="2"/>
      </rPr>
      <t xml:space="preserve">ロゴ</t>
    </r>
  </si>
  <si>
    <t xml:space="preserve">商品写真や人物写真とロゴの両方</t>
  </si>
  <si>
    <t xml:space="preserve">写真のみ</t>
  </si>
  <si>
    <t xml:space="preserve">ロゴのみ</t>
  </si>
  <si>
    <t xml:space="preserve">なし</t>
  </si>
  <si>
    <t xml:space="preserve">文字のみ</t>
  </si>
  <si>
    <r>
      <rPr>
        <b val="true"/>
        <sz val="11"/>
        <rFont val="Arial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論調係数（基礎点に掛ける倍率）</t>
    </r>
  </si>
  <si>
    <t xml:space="preserve">論調</t>
  </si>
  <si>
    <t xml:space="preserve">係数</t>
  </si>
  <si>
    <t xml:space="preserve">ポジティブ</t>
  </si>
  <si>
    <t xml:space="preserve">好意的、推奨している</t>
  </si>
  <si>
    <t xml:space="preserve">中立</t>
  </si>
  <si>
    <t xml:space="preserve">事実のみを伝えている</t>
  </si>
  <si>
    <t xml:space="preserve">ネガティブ</t>
  </si>
  <si>
    <t xml:space="preserve">批判的。マイナスにするとリスク記事として集計で目立ちます</t>
  </si>
  <si>
    <r>
      <rPr>
        <b val="true"/>
        <sz val="11"/>
        <rFont val="Arial"/>
        <family val="0"/>
        <charset val="1"/>
      </rPr>
      <t xml:space="preserve">7. </t>
    </r>
    <r>
      <rPr>
        <b val="true"/>
        <sz val="11"/>
        <rFont val="WenQuanYi Zen Hei"/>
        <family val="2"/>
      </rPr>
      <t xml:space="preserve">基準値</t>
    </r>
  </si>
  <si>
    <t xml:space="preserve">項目</t>
  </si>
  <si>
    <t xml:space="preserve">値</t>
  </si>
  <si>
    <t xml:space="preserve">説明</t>
  </si>
  <si>
    <t xml:space="preserve">到達規模の満点ライン</t>
  </si>
  <si>
    <r>
      <rPr>
        <sz val="11"/>
        <rFont val="WenQuanYi Zen Hei"/>
        <family val="2"/>
      </rPr>
      <t xml:space="preserve">この数値以上で到達規模が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点。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人なら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点で、その間は対数で配点</t>
    </r>
  </si>
  <si>
    <t xml:space="preserve">二次拡散の満点ライン</t>
  </si>
  <si>
    <r>
      <rPr>
        <sz val="11"/>
        <rFont val="WenQuanYi Zen Hei"/>
        <family val="2"/>
      </rPr>
      <t xml:space="preserve">共有・転載の合計がこの数以上で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点</t>
    </r>
  </si>
  <si>
    <t xml:space="preserve">設定キーメッセージ数</t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</si>
  <si>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回の発表で伝えたい要点の数。伝わった数</t>
    </r>
    <r>
      <rPr>
        <sz val="11"/>
        <rFont val="Arial"/>
        <family val="0"/>
        <charset val="1"/>
      </rPr>
      <t xml:space="preserve">÷</t>
    </r>
    <r>
      <rPr>
        <sz val="11"/>
        <rFont val="WenQuanYi Zen Hei"/>
        <family val="2"/>
      </rPr>
      <t xml:space="preserve">この数で配点</t>
    </r>
  </si>
  <si>
    <r>
      <rPr>
        <b val="true"/>
        <sz val="11"/>
        <rFont val="Arial"/>
        <family val="0"/>
        <charset val="1"/>
      </rPr>
      <t xml:space="preserve">8. </t>
    </r>
    <r>
      <rPr>
        <b val="true"/>
        <sz val="11"/>
        <rFont val="WenQuanYi Zen Hei"/>
        <family val="2"/>
      </rPr>
      <t xml:space="preserve">スコア判定（下限値の小さい順に並べる）</t>
    </r>
  </si>
  <si>
    <t xml:space="preserve">下限スコア</t>
  </si>
  <si>
    <t xml:space="preserve">判定</t>
  </si>
  <si>
    <t xml:space="preserve">意味</t>
  </si>
  <si>
    <t xml:space="preserve">要対応</t>
  </si>
  <si>
    <t xml:space="preserve">ネガティブ記事。経営層への共有や対応を検討</t>
  </si>
  <si>
    <t xml:space="preserve">露出としては限定的</t>
  </si>
  <si>
    <t xml:space="preserve">標準的な露出</t>
  </si>
  <si>
    <t xml:space="preserve">良好。社内報告で紹介したい水準</t>
  </si>
  <si>
    <t xml:space="preserve">卓越。年間の代表事例候補</t>
  </si>
  <si>
    <r>
      <rPr>
        <b val="true"/>
        <sz val="11"/>
        <rFont val="Arial"/>
        <family val="0"/>
        <charset val="1"/>
      </rPr>
      <t xml:space="preserve">9. </t>
    </r>
    <r>
      <rPr>
        <b val="true"/>
        <sz val="11"/>
        <rFont val="WenQuanYi Zen Hei"/>
        <family val="2"/>
      </rPr>
      <t xml:space="preserve">媒体種別（集計の切り口。点数には影響しません）</t>
    </r>
  </si>
  <si>
    <t xml:space="preserve">媒体種別</t>
  </si>
  <si>
    <t xml:space="preserve">備考</t>
  </si>
  <si>
    <t xml:space="preserve">新聞</t>
  </si>
  <si>
    <t xml:space="preserve">名前を変えると、集計シートの媒体種別も自動で変わります</t>
  </si>
  <si>
    <t xml:space="preserve">テレビ</t>
  </si>
  <si>
    <t xml:space="preserve">ラジオ</t>
  </si>
  <si>
    <t xml:space="preserve">雑誌</t>
  </si>
  <si>
    <r>
      <rPr>
        <sz val="11"/>
        <color rgb="FF0000FF"/>
        <rFont val="Arial"/>
        <family val="0"/>
        <charset val="1"/>
      </rPr>
      <t xml:space="preserve">Web</t>
    </r>
    <r>
      <rPr>
        <sz val="11"/>
        <color rgb="FF0000FF"/>
        <rFont val="WenQuanYi Zen Hei"/>
        <family val="2"/>
      </rPr>
      <t xml:space="preserve">ニュース</t>
    </r>
  </si>
  <si>
    <t xml:space="preserve">業界専門紙誌</t>
  </si>
  <si>
    <r>
      <rPr>
        <sz val="11"/>
        <color rgb="FF0000FF"/>
        <rFont val="Arial"/>
        <family val="0"/>
        <charset val="1"/>
      </rPr>
      <t xml:space="preserve">SNS</t>
    </r>
    <r>
      <rPr>
        <sz val="11"/>
        <color rgb="FF0000FF"/>
        <rFont val="WenQuanYi Zen Hei"/>
        <family val="2"/>
      </rPr>
      <t xml:space="preserve">・動画</t>
    </r>
  </si>
  <si>
    <t xml:space="preserve">その他</t>
  </si>
  <si>
    <t xml:space="preserve">露出ログ（黄色の列を入力。灰色の列は自動計算）</t>
  </si>
  <si>
    <r>
      <rPr>
        <i val="true"/>
        <sz val="11"/>
        <color rgb="FF7F7F7F"/>
        <rFont val="WenQuanYi Zen Hei"/>
        <family val="2"/>
      </rPr>
      <t xml:space="preserve">サンプル行（</t>
    </r>
    <r>
      <rPr>
        <i val="true"/>
        <sz val="11"/>
        <color rgb="FF7F7F7F"/>
        <rFont val="Arial"/>
        <family val="0"/>
        <charset val="1"/>
      </rPr>
      <t xml:space="preserve">No 1</t>
    </r>
    <r>
      <rPr>
        <i val="true"/>
        <sz val="11"/>
        <color rgb="FF7F7F7F"/>
        <rFont val="WenQuanYi Zen Hei"/>
        <family val="2"/>
      </rPr>
      <t xml:space="preserve">〜</t>
    </r>
    <r>
      <rPr>
        <i val="true"/>
        <sz val="11"/>
        <color rgb="FF7F7F7F"/>
        <rFont val="Arial"/>
        <family val="0"/>
        <charset val="1"/>
      </rPr>
      <t xml:space="preserve">5</t>
    </r>
    <r>
      <rPr>
        <i val="true"/>
        <sz val="11"/>
        <color rgb="FF7F7F7F"/>
        <rFont val="WenQuanYi Zen Hei"/>
        <family val="2"/>
      </rPr>
      <t xml:space="preserve">）は記入例です。上書きまたは行の中身を消してお使いください。</t>
    </r>
  </si>
  <si>
    <t xml:space="preserve">No</t>
  </si>
  <si>
    <t xml:space="preserve">掲載日</t>
  </si>
  <si>
    <t xml:space="preserve">媒体名</t>
  </si>
  <si>
    <t xml:space="preserve">媒体ランク</t>
  </si>
  <si>
    <r>
      <rPr>
        <b val="true"/>
        <sz val="11"/>
        <color rgb="FFFFFFFF"/>
        <rFont val="WenQuanYi Zen Hei"/>
        <family val="2"/>
      </rPr>
      <t xml:space="preserve">記事タイトル・</t>
    </r>
    <r>
      <rPr>
        <b val="true"/>
        <sz val="11"/>
        <color rgb="FFFFFFFF"/>
        <rFont val="Arial"/>
        <family val="0"/>
        <charset val="1"/>
      </rPr>
      <t xml:space="preserve">URL</t>
    </r>
  </si>
  <si>
    <r>
      <rPr>
        <b val="true"/>
        <sz val="11"/>
        <color rgb="FFFFFFFF"/>
        <rFont val="WenQuanYi Zen Hei"/>
        <family val="2"/>
      </rPr>
      <t xml:space="preserve">到達規模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部数</t>
    </r>
    <r>
      <rPr>
        <b val="true"/>
        <sz val="11"/>
        <color rgb="FFFFFFFF"/>
        <rFont val="Arial"/>
        <family val="0"/>
        <charset val="1"/>
      </rPr>
      <t xml:space="preserve">/UU/</t>
    </r>
    <r>
      <rPr>
        <b val="true"/>
        <sz val="11"/>
        <color rgb="FFFFFFFF"/>
        <rFont val="WenQuanYi Zen Hei"/>
        <family val="2"/>
      </rPr>
      <t xml:space="preserve">視聴者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</si>
  <si>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伝わった
キーメッセージ数</t>
  </si>
  <si>
    <r>
      <rPr>
        <b val="true"/>
        <sz val="11"/>
        <color rgb="FFFFFFFF"/>
        <rFont val="WenQuanYi Zen Hei"/>
        <family val="2"/>
      </rPr>
      <t xml:space="preserve">二次拡散数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共有・転載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</si>
  <si>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メモ</t>
  </si>
  <si>
    <t xml:space="preserve">媒体影響力点</t>
  </si>
  <si>
    <t xml:space="preserve">到達規模点</t>
  </si>
  <si>
    <t xml:space="preserve">扱い点</t>
  </si>
  <si>
    <t xml:space="preserve">キーメッセージ点</t>
  </si>
  <si>
    <t xml:space="preserve">ターゲット点</t>
  </si>
  <si>
    <t xml:space="preserve">ビジュアル点</t>
  </si>
  <si>
    <t xml:space="preserve">二次拡散点</t>
  </si>
  <si>
    <t xml:space="preserve">基礎点</t>
  </si>
  <si>
    <t xml:space="preserve">論調係数</t>
  </si>
  <si>
    <r>
      <rPr>
        <b val="true"/>
        <sz val="11"/>
        <color rgb="FFFFFFFF"/>
        <rFont val="Arial"/>
        <family val="0"/>
        <charset val="1"/>
      </rPr>
      <t xml:space="preserve">PR</t>
    </r>
    <r>
      <rPr>
        <b val="true"/>
        <sz val="11"/>
        <color rgb="FFFFFFFF"/>
        <rFont val="WenQuanYi Zen Hei"/>
        <family val="2"/>
      </rPr>
      <t xml:space="preserve">スコア</t>
    </r>
  </si>
  <si>
    <r>
      <rPr>
        <sz val="11"/>
        <color rgb="FF0000FF"/>
        <rFont val="WenQuanYi Zen Hei"/>
        <family val="2"/>
      </rPr>
      <t xml:space="preserve">全国紙</t>
    </r>
    <r>
      <rPr>
        <sz val="11"/>
        <color rgb="FF0000FF"/>
        <rFont val="Arial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（サンプル）</t>
    </r>
  </si>
  <si>
    <t xml:space="preserve">新商品発表の記事</t>
  </si>
  <si>
    <r>
      <rPr>
        <sz val="11"/>
        <color rgb="FF0000FF"/>
        <rFont val="WenQuanYi Zen Hei"/>
        <family val="2"/>
      </rPr>
      <t xml:space="preserve">業界専門紙</t>
    </r>
    <r>
      <rPr>
        <sz val="11"/>
        <color rgb="FF0000FF"/>
        <rFont val="Arial"/>
        <family val="0"/>
        <charset val="1"/>
      </rPr>
      <t xml:space="preserve">B</t>
    </r>
    <r>
      <rPr>
        <sz val="11"/>
        <color rgb="FF0000FF"/>
        <rFont val="WenQuanYi Zen Hei"/>
        <family val="2"/>
      </rPr>
      <t xml:space="preserve">（サンプル）</t>
    </r>
  </si>
  <si>
    <t xml:space="preserve">代表インタビュー</t>
  </si>
  <si>
    <r>
      <rPr>
        <sz val="11"/>
        <color rgb="FF0000FF"/>
        <rFont val="WenQuanYi Zen Hei"/>
        <family val="2"/>
      </rPr>
      <t xml:space="preserve">ニュースサイト</t>
    </r>
    <r>
      <rPr>
        <sz val="11"/>
        <color rgb="FF0000FF"/>
        <rFont val="Arial"/>
        <family val="0"/>
        <charset val="1"/>
      </rPr>
      <t xml:space="preserve">C</t>
    </r>
    <r>
      <rPr>
        <sz val="11"/>
        <color rgb="FF0000FF"/>
        <rFont val="WenQuanYi Zen Hei"/>
        <family val="2"/>
      </rPr>
      <t xml:space="preserve">（サンプル）</t>
    </r>
  </si>
  <si>
    <t xml:space="preserve">業界動向まとめ</t>
  </si>
  <si>
    <r>
      <rPr>
        <sz val="11"/>
        <color rgb="FF0000FF"/>
        <rFont val="WenQuanYi Zen Hei"/>
        <family val="2"/>
      </rPr>
      <t xml:space="preserve">情報番組</t>
    </r>
    <r>
      <rPr>
        <sz val="11"/>
        <color rgb="FF0000FF"/>
        <rFont val="Arial"/>
        <family val="0"/>
        <charset val="1"/>
      </rPr>
      <t xml:space="preserve">D</t>
    </r>
    <r>
      <rPr>
        <sz val="11"/>
        <color rgb="FF0000FF"/>
        <rFont val="WenQuanYi Zen Hei"/>
        <family val="2"/>
      </rPr>
      <t xml:space="preserve">（サンプル）</t>
    </r>
  </si>
  <si>
    <t xml:space="preserve">特集コーナーで紹介</t>
  </si>
  <si>
    <r>
      <rPr>
        <sz val="11"/>
        <color rgb="FF0000FF"/>
        <rFont val="WenQuanYi Zen Hei"/>
        <family val="2"/>
      </rPr>
      <t xml:space="preserve">経済誌</t>
    </r>
    <r>
      <rPr>
        <sz val="11"/>
        <color rgb="FF0000FF"/>
        <rFont val="Arial"/>
        <family val="0"/>
        <charset val="1"/>
      </rPr>
      <t xml:space="preserve">E</t>
    </r>
    <r>
      <rPr>
        <sz val="11"/>
        <color rgb="FF0000FF"/>
        <rFont val="WenQuanYi Zen Hei"/>
        <family val="2"/>
      </rPr>
      <t xml:space="preserve">（サンプル）</t>
    </r>
  </si>
  <si>
    <t xml:space="preserve">業界の課題を扱う記事</t>
  </si>
  <si>
    <t xml:space="preserve">集計（すべて自動計算）</t>
  </si>
  <si>
    <t xml:space="preserve">全体サマリー</t>
  </si>
  <si>
    <t xml:space="preserve">掲載件数</t>
  </si>
  <si>
    <r>
      <rPr>
        <sz val="11"/>
        <rFont val="Arial"/>
        <family val="0"/>
        <charset val="1"/>
      </rPr>
      <t xml:space="preserve">PR</t>
    </r>
    <r>
      <rPr>
        <sz val="11"/>
        <rFont val="WenQuanYi Zen Hei"/>
        <family val="2"/>
      </rPr>
      <t xml:space="preserve">スコア合計</t>
    </r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</si>
  <si>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件あたり平均</t>
    </r>
  </si>
  <si>
    <t xml:space="preserve">ネガティブ件数</t>
  </si>
  <si>
    <t xml:space="preserve">ポジティブ率</t>
  </si>
  <si>
    <r>
      <rPr>
        <sz val="11"/>
        <color rgb="FF7F7F7F"/>
        <rFont val="WenQuanYi Zen Hei"/>
        <family val="2"/>
      </rPr>
      <t xml:space="preserve">ポジティブ率：論調が設定シート</t>
    </r>
    <r>
      <rPr>
        <sz val="11"/>
        <color rgb="FF7F7F7F"/>
        <rFont val="Arial"/>
        <family val="0"/>
        <charset val="1"/>
      </rPr>
      <t xml:space="preserve">6.</t>
    </r>
    <r>
      <rPr>
        <sz val="11"/>
        <color rgb="FF7F7F7F"/>
        <rFont val="WenQuanYi Zen Hei"/>
        <family val="2"/>
      </rPr>
      <t xml:space="preserve">の</t>
    </r>
    <r>
      <rPr>
        <sz val="11"/>
        <color rgb="FF7F7F7F"/>
        <rFont val="Arial"/>
        <family val="0"/>
        <charset val="1"/>
      </rPr>
      <t xml:space="preserve">1</t>
    </r>
    <r>
      <rPr>
        <sz val="11"/>
        <color rgb="FF7F7F7F"/>
        <rFont val="WenQuanYi Zen Hei"/>
        <family val="2"/>
      </rPr>
      <t xml:space="preserve">行目（初期値ポジティブ）の記事の割合</t>
    </r>
  </si>
  <si>
    <t xml:space="preserve">月別推移</t>
  </si>
  <si>
    <t xml:space="preserve">開始月</t>
  </si>
  <si>
    <t xml:space="preserve">← 年度の最初の月を入力</t>
  </si>
  <si>
    <t xml:space="preserve">月</t>
  </si>
  <si>
    <t xml:space="preserve">件数</t>
  </si>
  <si>
    <t xml:space="preserve">スコア合計</t>
  </si>
  <si>
    <t xml:space="preserve">平均スコア</t>
  </si>
  <si>
    <t xml:space="preserve">媒体種別ごと</t>
  </si>
  <si>
    <t xml:space="preserve">構成比</t>
  </si>
  <si>
    <t xml:space="preserve">判定ごとの件数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</si>
</sst>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"/>
    <numFmt numFmtId="167" formatCode="#,##0"/>
    <numFmt numFmtId="168" formatCode="yyyy/mm/dd"/>
    <numFmt numFmtId="169" formatCode="#,##0.0"/>
    <numFmt numFmtId="170" formatCode="yyyy/mm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WenQuanYi Zen Hei"/>
      <family val="2"/>
    </font>
    <font>
      <sz val="11"/>
      <color rgb="FF0000FF"/>
      <name val="WenQuanYi Zen Hei"/>
      <family val="2"/>
    </font>
    <font>
      <sz val="11"/>
      <color rgb="FF0000FF"/>
      <name val="Arial"/>
      <family val="0"/>
      <charset val="1"/>
    </font>
    <font>
      <sz val="11"/>
      <color theme="1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i val="true"/>
      <sz val="11"/>
      <color rgb="FF7F7F7F"/>
      <name val="WenQuanYi Zen Hei"/>
      <family val="2"/>
    </font>
    <font>
      <i val="true"/>
      <sz val="11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7F7F7F"/>
      <name val="WenQuanYi Zen Hei"/>
      <family val="2"/>
    </font>
    <font>
      <sz val="11"/>
      <color rgb="FF7F7F7F"/>
      <name val="Arial"/>
      <family val="0"/>
      <charset val="1"/>
    </font>
    <font>
      <sz val="11"/>
      <color rgb="FF008000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月別 PRスコア合計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集計!C12</c:f>
              <c:strCache>
                <c:ptCount val="1"/>
                <c:pt idx="0">
                  <c:v>スコア合計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集計!$A$13:$A$24</c:f>
              <c:strCache>
                <c:ptCount val="12"/>
                <c:pt idx="0">
                  <c:v>2026/04</c:v>
                </c:pt>
                <c:pt idx="1">
                  <c:v>2026/05</c:v>
                </c:pt>
                <c:pt idx="2">
                  <c:v>2026/06</c:v>
                </c:pt>
                <c:pt idx="3">
                  <c:v>2026/07</c:v>
                </c:pt>
                <c:pt idx="4">
                  <c:v>2026/08</c:v>
                </c:pt>
                <c:pt idx="5">
                  <c:v>2026/09</c:v>
                </c:pt>
                <c:pt idx="6">
                  <c:v>2026/10</c:v>
                </c:pt>
                <c:pt idx="7">
                  <c:v>2026/11</c:v>
                </c:pt>
                <c:pt idx="8">
                  <c:v>2026/12</c:v>
                </c:pt>
                <c:pt idx="9">
                  <c:v>2027/01</c:v>
                </c:pt>
                <c:pt idx="10">
                  <c:v>2027/02</c:v>
                </c:pt>
                <c:pt idx="11">
                  <c:v>2027/03</c:v>
                </c:pt>
              </c:strCache>
            </c:strRef>
          </c:cat>
          <c:val>
            <c:numRef>
              <c:f>集計!$C$13:$C$24</c:f>
              <c:numCache>
                <c:formatCode>#,##0.0</c:formatCode>
                <c:ptCount val="12"/>
                <c:pt idx="0">
                  <c:v>162.1</c:v>
                </c:pt>
                <c:pt idx="1">
                  <c:v>134.7</c:v>
                </c:pt>
                <c:pt idx="2">
                  <c:v>-24.9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2837958"/>
        <c:axId val="40595511"/>
      </c:barChart>
      <c:catAx>
        <c:axId val="32837958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95511"/>
        <c:crosses val="autoZero"/>
        <c:auto val="1"/>
        <c:lblAlgn val="ctr"/>
        <c:lblOffset val="100"/>
        <c:noMultiLvlLbl val="0"/>
      </c:catAx>
      <c:valAx>
        <c:axId val="40595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スコア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379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15</xdr:col>
      <xdr:colOff>256320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6555240" y="380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4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28.3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28.35" hidden="false" customHeight="false" outlineLevel="0" collapsed="false">
      <c r="B8" s="4" t="s">
        <v>6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2" t="s">
        <v>8</v>
      </c>
    </row>
    <row r="12" customFormat="false" ht="28.35" hidden="false" customHeight="false" outlineLevel="0" collapsed="false">
      <c r="B12" s="4" t="s">
        <v>9</v>
      </c>
    </row>
    <row r="13" customFormat="false" ht="28.3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8.3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1" customFormat="false" ht="28.35" hidden="false" customHeight="false" outlineLevel="0" collapsed="false">
      <c r="B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5" t="s">
        <v>17</v>
      </c>
      <c r="B1" s="6"/>
      <c r="C1" s="6"/>
    </row>
    <row r="2" customFormat="false" ht="15" hidden="false" customHeight="false" outlineLevel="0" collapsed="false">
      <c r="A2" s="7" t="s">
        <v>18</v>
      </c>
      <c r="B2" s="6"/>
      <c r="C2" s="6"/>
    </row>
    <row r="3" customFormat="false" ht="15" hidden="false" customHeight="false" outlineLevel="0" collapsed="false">
      <c r="A3" s="8" t="s">
        <v>19</v>
      </c>
      <c r="B3" s="8" t="s">
        <v>20</v>
      </c>
      <c r="C3" s="8" t="s">
        <v>21</v>
      </c>
    </row>
    <row r="4" customFormat="false" ht="15" hidden="false" customHeight="false" outlineLevel="0" collapsed="false">
      <c r="A4" s="9" t="s">
        <v>22</v>
      </c>
      <c r="B4" s="10" t="n">
        <v>0.25</v>
      </c>
      <c r="C4" s="11" t="s">
        <v>23</v>
      </c>
    </row>
    <row r="5" customFormat="false" ht="28.35" hidden="false" customHeight="false" outlineLevel="0" collapsed="false">
      <c r="A5" s="9" t="s">
        <v>24</v>
      </c>
      <c r="B5" s="10" t="n">
        <v>0.15</v>
      </c>
      <c r="C5" s="11" t="s">
        <v>25</v>
      </c>
    </row>
    <row r="6" customFormat="false" ht="15" hidden="false" customHeight="false" outlineLevel="0" collapsed="false">
      <c r="A6" s="9" t="s">
        <v>26</v>
      </c>
      <c r="B6" s="10" t="n">
        <v>0.2</v>
      </c>
      <c r="C6" s="11" t="s">
        <v>27</v>
      </c>
    </row>
    <row r="7" customFormat="false" ht="15" hidden="false" customHeight="false" outlineLevel="0" collapsed="false">
      <c r="A7" s="9" t="s">
        <v>28</v>
      </c>
      <c r="B7" s="10" t="n">
        <v>0.2</v>
      </c>
      <c r="C7" s="11" t="s">
        <v>29</v>
      </c>
    </row>
    <row r="8" customFormat="false" ht="15" hidden="false" customHeight="false" outlineLevel="0" collapsed="false">
      <c r="A8" s="9" t="s">
        <v>30</v>
      </c>
      <c r="B8" s="10" t="n">
        <v>0.1</v>
      </c>
      <c r="C8" s="11" t="s">
        <v>31</v>
      </c>
    </row>
    <row r="9" customFormat="false" ht="15" hidden="false" customHeight="false" outlineLevel="0" collapsed="false">
      <c r="A9" s="9" t="s">
        <v>32</v>
      </c>
      <c r="B9" s="10" t="n">
        <v>0.05</v>
      </c>
      <c r="C9" s="11" t="s">
        <v>33</v>
      </c>
    </row>
    <row r="10" customFormat="false" ht="15" hidden="false" customHeight="false" outlineLevel="0" collapsed="false">
      <c r="A10" s="9" t="s">
        <v>34</v>
      </c>
      <c r="B10" s="10" t="n">
        <v>0.05</v>
      </c>
      <c r="C10" s="12" t="s">
        <v>35</v>
      </c>
    </row>
    <row r="11" customFormat="false" ht="15" hidden="false" customHeight="false" outlineLevel="0" collapsed="false">
      <c r="A11" s="13" t="s">
        <v>36</v>
      </c>
      <c r="B11" s="14" t="n">
        <f aca="false">SUM(B4:B10)</f>
        <v>1</v>
      </c>
      <c r="C11" s="6" t="str">
        <f aca="false">IF(B11=0,"重みがすべて0です。どれか1つ以上に値を入れてください","OK（各項目は合計に対する割合で計算されます）")</f>
        <v>OK（各項目は合計に対する割合で計算されます）</v>
      </c>
    </row>
    <row r="12" customFormat="false" ht="15" hidden="false" customHeight="false" outlineLevel="0" collapsed="false">
      <c r="A12" s="7" t="s">
        <v>37</v>
      </c>
      <c r="B12" s="6"/>
      <c r="C12" s="6"/>
    </row>
    <row r="13" customFormat="false" ht="15" hidden="false" customHeight="false" outlineLevel="0" collapsed="false">
      <c r="A13" s="8" t="s">
        <v>38</v>
      </c>
      <c r="B13" s="8" t="s">
        <v>39</v>
      </c>
      <c r="C13" s="8" t="s">
        <v>40</v>
      </c>
    </row>
    <row r="14" customFormat="false" ht="15" hidden="false" customHeight="false" outlineLevel="0" collapsed="false">
      <c r="A14" s="15" t="s">
        <v>41</v>
      </c>
      <c r="B14" s="9" t="n">
        <v>100</v>
      </c>
      <c r="C14" s="11" t="s">
        <v>42</v>
      </c>
    </row>
    <row r="15" customFormat="false" ht="15" hidden="false" customHeight="false" outlineLevel="0" collapsed="false">
      <c r="A15" s="15" t="s">
        <v>43</v>
      </c>
      <c r="B15" s="9" t="n">
        <v>80</v>
      </c>
      <c r="C15" s="11" t="s">
        <v>44</v>
      </c>
    </row>
    <row r="16" customFormat="false" ht="15" hidden="false" customHeight="false" outlineLevel="0" collapsed="false">
      <c r="A16" s="15" t="s">
        <v>45</v>
      </c>
      <c r="B16" s="9" t="n">
        <v>60</v>
      </c>
      <c r="C16" s="11" t="s">
        <v>46</v>
      </c>
    </row>
    <row r="17" customFormat="false" ht="15" hidden="false" customHeight="false" outlineLevel="0" collapsed="false">
      <c r="A17" s="15" t="s">
        <v>47</v>
      </c>
      <c r="B17" s="9" t="n">
        <v>40</v>
      </c>
      <c r="C17" s="11" t="s">
        <v>48</v>
      </c>
    </row>
    <row r="18" customFormat="false" ht="15" hidden="false" customHeight="false" outlineLevel="0" collapsed="false">
      <c r="A18" s="15" t="s">
        <v>49</v>
      </c>
      <c r="B18" s="9" t="n">
        <v>20</v>
      </c>
      <c r="C18" s="11" t="s">
        <v>50</v>
      </c>
    </row>
    <row r="19" customFormat="false" ht="15" hidden="false" customHeight="false" outlineLevel="0" collapsed="false">
      <c r="A19" s="7" t="s">
        <v>51</v>
      </c>
      <c r="B19" s="6"/>
      <c r="C19" s="6"/>
    </row>
    <row r="20" customFormat="false" ht="15" hidden="false" customHeight="false" outlineLevel="0" collapsed="false">
      <c r="A20" s="8" t="s">
        <v>52</v>
      </c>
      <c r="B20" s="8" t="s">
        <v>39</v>
      </c>
      <c r="C20" s="8" t="s">
        <v>53</v>
      </c>
    </row>
    <row r="21" customFormat="false" ht="15" hidden="false" customHeight="false" outlineLevel="0" collapsed="false">
      <c r="A21" s="9" t="s">
        <v>54</v>
      </c>
      <c r="B21" s="9" t="n">
        <v>100</v>
      </c>
      <c r="C21" s="11" t="s">
        <v>55</v>
      </c>
    </row>
    <row r="22" customFormat="false" ht="15" hidden="false" customHeight="false" outlineLevel="0" collapsed="false">
      <c r="A22" s="9" t="s">
        <v>56</v>
      </c>
      <c r="B22" s="9" t="n">
        <v>75</v>
      </c>
      <c r="C22" s="11" t="s">
        <v>57</v>
      </c>
    </row>
    <row r="23" customFormat="false" ht="15" hidden="false" customHeight="false" outlineLevel="0" collapsed="false">
      <c r="A23" s="9" t="s">
        <v>58</v>
      </c>
      <c r="B23" s="9" t="n">
        <v>40</v>
      </c>
      <c r="C23" s="12" t="s">
        <v>59</v>
      </c>
    </row>
    <row r="24" customFormat="false" ht="15" hidden="false" customHeight="false" outlineLevel="0" collapsed="false">
      <c r="A24" s="9" t="s">
        <v>60</v>
      </c>
      <c r="B24" s="9" t="n">
        <v>15</v>
      </c>
      <c r="C24" s="11" t="s">
        <v>61</v>
      </c>
    </row>
    <row r="25" customFormat="false" ht="15" hidden="false" customHeight="false" outlineLevel="0" collapsed="false">
      <c r="A25" s="7" t="s">
        <v>62</v>
      </c>
      <c r="B25" s="6"/>
      <c r="C25" s="6"/>
    </row>
    <row r="26" customFormat="false" ht="15" hidden="false" customHeight="false" outlineLevel="0" collapsed="false">
      <c r="A26" s="8" t="s">
        <v>63</v>
      </c>
      <c r="B26" s="8" t="s">
        <v>39</v>
      </c>
      <c r="C26" s="8" t="s">
        <v>53</v>
      </c>
    </row>
    <row r="27" customFormat="false" ht="15" hidden="false" customHeight="false" outlineLevel="0" collapsed="false">
      <c r="A27" s="9" t="s">
        <v>64</v>
      </c>
      <c r="B27" s="9" t="n">
        <v>100</v>
      </c>
      <c r="C27" s="11" t="s">
        <v>65</v>
      </c>
    </row>
    <row r="28" customFormat="false" ht="15" hidden="false" customHeight="false" outlineLevel="0" collapsed="false">
      <c r="A28" s="9" t="s">
        <v>66</v>
      </c>
      <c r="B28" s="9" t="n">
        <v>60</v>
      </c>
      <c r="C28" s="11" t="s">
        <v>67</v>
      </c>
    </row>
    <row r="29" customFormat="false" ht="15" hidden="false" customHeight="false" outlineLevel="0" collapsed="false">
      <c r="A29" s="9" t="s">
        <v>68</v>
      </c>
      <c r="B29" s="9" t="n">
        <v>20</v>
      </c>
      <c r="C29" s="11" t="s">
        <v>69</v>
      </c>
    </row>
    <row r="30" customFormat="false" ht="15" hidden="false" customHeight="false" outlineLevel="0" collapsed="false">
      <c r="A30" s="7" t="s">
        <v>70</v>
      </c>
      <c r="B30" s="6"/>
      <c r="C30" s="6"/>
    </row>
    <row r="31" customFormat="false" ht="15" hidden="false" customHeight="false" outlineLevel="0" collapsed="false">
      <c r="A31" s="8" t="s">
        <v>71</v>
      </c>
      <c r="B31" s="8" t="s">
        <v>39</v>
      </c>
      <c r="C31" s="8" t="s">
        <v>53</v>
      </c>
    </row>
    <row r="32" customFormat="false" ht="15" hidden="false" customHeight="false" outlineLevel="0" collapsed="false">
      <c r="A32" s="9" t="s">
        <v>72</v>
      </c>
      <c r="B32" s="9" t="n">
        <v>100</v>
      </c>
      <c r="C32" s="11" t="s">
        <v>73</v>
      </c>
    </row>
    <row r="33" customFormat="false" ht="15" hidden="false" customHeight="false" outlineLevel="0" collapsed="false">
      <c r="A33" s="9" t="s">
        <v>74</v>
      </c>
      <c r="B33" s="9" t="n">
        <v>70</v>
      </c>
      <c r="C33" s="11"/>
    </row>
    <row r="34" customFormat="false" ht="15" hidden="false" customHeight="false" outlineLevel="0" collapsed="false">
      <c r="A34" s="9" t="s">
        <v>75</v>
      </c>
      <c r="B34" s="9" t="n">
        <v>50</v>
      </c>
      <c r="C34" s="11"/>
    </row>
    <row r="35" customFormat="false" ht="15" hidden="false" customHeight="false" outlineLevel="0" collapsed="false">
      <c r="A35" s="9" t="s">
        <v>76</v>
      </c>
      <c r="B35" s="9" t="n">
        <v>0</v>
      </c>
      <c r="C35" s="11" t="s">
        <v>77</v>
      </c>
    </row>
    <row r="36" customFormat="false" ht="15" hidden="false" customHeight="false" outlineLevel="0" collapsed="false">
      <c r="A36" s="7" t="s">
        <v>78</v>
      </c>
      <c r="B36" s="6"/>
      <c r="C36" s="6"/>
    </row>
    <row r="37" customFormat="false" ht="15" hidden="false" customHeight="false" outlineLevel="0" collapsed="false">
      <c r="A37" s="8" t="s">
        <v>79</v>
      </c>
      <c r="B37" s="8" t="s">
        <v>80</v>
      </c>
      <c r="C37" s="8" t="s">
        <v>53</v>
      </c>
    </row>
    <row r="38" customFormat="false" ht="15" hidden="false" customHeight="false" outlineLevel="0" collapsed="false">
      <c r="A38" s="9" t="s">
        <v>81</v>
      </c>
      <c r="B38" s="16" t="n">
        <v>1</v>
      </c>
      <c r="C38" s="11" t="s">
        <v>82</v>
      </c>
    </row>
    <row r="39" customFormat="false" ht="15" hidden="false" customHeight="false" outlineLevel="0" collapsed="false">
      <c r="A39" s="9" t="s">
        <v>83</v>
      </c>
      <c r="B39" s="16" t="n">
        <v>0.8</v>
      </c>
      <c r="C39" s="11" t="s">
        <v>84</v>
      </c>
    </row>
    <row r="40" customFormat="false" ht="15" hidden="false" customHeight="false" outlineLevel="0" collapsed="false">
      <c r="A40" s="9" t="s">
        <v>85</v>
      </c>
      <c r="B40" s="16" t="n">
        <v>-0.5</v>
      </c>
      <c r="C40" s="11" t="s">
        <v>86</v>
      </c>
    </row>
    <row r="41" customFormat="false" ht="15" hidden="false" customHeight="false" outlineLevel="0" collapsed="false">
      <c r="A41" s="7" t="s">
        <v>87</v>
      </c>
      <c r="B41" s="6"/>
      <c r="C41" s="6"/>
    </row>
    <row r="42" customFormat="false" ht="15" hidden="false" customHeight="false" outlineLevel="0" collapsed="false">
      <c r="A42" s="8" t="s">
        <v>88</v>
      </c>
      <c r="B42" s="8" t="s">
        <v>89</v>
      </c>
      <c r="C42" s="8" t="s">
        <v>90</v>
      </c>
    </row>
    <row r="43" customFormat="false" ht="15" hidden="false" customHeight="false" outlineLevel="0" collapsed="false">
      <c r="A43" s="9" t="s">
        <v>91</v>
      </c>
      <c r="B43" s="17" t="n">
        <v>10000000</v>
      </c>
      <c r="C43" s="11" t="s">
        <v>92</v>
      </c>
    </row>
    <row r="44" customFormat="false" ht="15" hidden="false" customHeight="false" outlineLevel="0" collapsed="false">
      <c r="A44" s="9" t="s">
        <v>93</v>
      </c>
      <c r="B44" s="17" t="n">
        <v>10000</v>
      </c>
      <c r="C44" s="11" t="s">
        <v>94</v>
      </c>
    </row>
    <row r="45" customFormat="false" ht="15" hidden="false" customHeight="false" outlineLevel="0" collapsed="false">
      <c r="A45" s="9" t="s">
        <v>95</v>
      </c>
      <c r="B45" s="17" t="n">
        <v>3</v>
      </c>
      <c r="C45" s="12" t="s">
        <v>96</v>
      </c>
    </row>
    <row r="46" customFormat="false" ht="15" hidden="false" customHeight="false" outlineLevel="0" collapsed="false">
      <c r="A46" s="6"/>
      <c r="B46" s="6"/>
      <c r="C46" s="6"/>
    </row>
    <row r="47" customFormat="false" ht="15" hidden="false" customHeight="false" outlineLevel="0" collapsed="false">
      <c r="A47" s="7" t="s">
        <v>97</v>
      </c>
      <c r="B47" s="6"/>
      <c r="C47" s="6"/>
    </row>
    <row r="48" customFormat="false" ht="15" hidden="false" customHeight="false" outlineLevel="0" collapsed="false">
      <c r="A48" s="8" t="s">
        <v>98</v>
      </c>
      <c r="B48" s="8" t="s">
        <v>99</v>
      </c>
      <c r="C48" s="8" t="s">
        <v>100</v>
      </c>
    </row>
    <row r="49" customFormat="false" ht="15" hidden="false" customHeight="false" outlineLevel="0" collapsed="false">
      <c r="A49" s="9" t="n">
        <v>-1000</v>
      </c>
      <c r="B49" s="9" t="s">
        <v>101</v>
      </c>
      <c r="C49" s="18" t="s">
        <v>102</v>
      </c>
    </row>
    <row r="50" customFormat="false" ht="15" hidden="false" customHeight="false" outlineLevel="0" collapsed="false">
      <c r="A50" s="9" t="n">
        <v>0</v>
      </c>
      <c r="B50" s="15" t="s">
        <v>47</v>
      </c>
      <c r="C50" s="18" t="s">
        <v>103</v>
      </c>
    </row>
    <row r="51" customFormat="false" ht="15" hidden="false" customHeight="false" outlineLevel="0" collapsed="false">
      <c r="A51" s="9" t="n">
        <v>30</v>
      </c>
      <c r="B51" s="15" t="s">
        <v>45</v>
      </c>
      <c r="C51" s="18" t="s">
        <v>104</v>
      </c>
    </row>
    <row r="52" customFormat="false" ht="15" hidden="false" customHeight="false" outlineLevel="0" collapsed="false">
      <c r="A52" s="9" t="n">
        <v>50</v>
      </c>
      <c r="B52" s="15" t="s">
        <v>43</v>
      </c>
      <c r="C52" s="18" t="s">
        <v>105</v>
      </c>
    </row>
    <row r="53" customFormat="false" ht="15" hidden="false" customHeight="false" outlineLevel="0" collapsed="false">
      <c r="A53" s="9" t="n">
        <v>75</v>
      </c>
      <c r="B53" s="15" t="s">
        <v>41</v>
      </c>
      <c r="C53" s="18" t="s">
        <v>106</v>
      </c>
    </row>
    <row r="54" customFormat="false" ht="15" hidden="false" customHeight="false" outlineLevel="0" collapsed="false">
      <c r="A54" s="6"/>
      <c r="B54" s="6"/>
      <c r="C54" s="6"/>
    </row>
    <row r="55" customFormat="false" ht="15" hidden="false" customHeight="false" outlineLevel="0" collapsed="false">
      <c r="A55" s="7" t="s">
        <v>107</v>
      </c>
      <c r="B55" s="6"/>
      <c r="C55" s="6"/>
    </row>
    <row r="56" customFormat="false" ht="15" hidden="false" customHeight="false" outlineLevel="0" collapsed="false">
      <c r="A56" s="8" t="s">
        <v>108</v>
      </c>
      <c r="B56" s="8"/>
      <c r="C56" s="8" t="s">
        <v>109</v>
      </c>
    </row>
    <row r="57" customFormat="false" ht="15" hidden="false" customHeight="false" outlineLevel="0" collapsed="false">
      <c r="A57" s="9" t="s">
        <v>110</v>
      </c>
      <c r="B57" s="6"/>
      <c r="C57" s="19" t="s">
        <v>111</v>
      </c>
    </row>
    <row r="58" customFormat="false" ht="15" hidden="false" customHeight="false" outlineLevel="0" collapsed="false">
      <c r="A58" s="9" t="s">
        <v>112</v>
      </c>
      <c r="B58" s="6"/>
      <c r="C58" s="6"/>
    </row>
    <row r="59" customFormat="false" ht="15" hidden="false" customHeight="false" outlineLevel="0" collapsed="false">
      <c r="A59" s="9" t="s">
        <v>113</v>
      </c>
      <c r="B59" s="6"/>
      <c r="C59" s="6"/>
    </row>
    <row r="60" customFormat="false" ht="15" hidden="false" customHeight="false" outlineLevel="0" collapsed="false">
      <c r="A60" s="9" t="s">
        <v>114</v>
      </c>
      <c r="B60" s="6"/>
      <c r="C60" s="6"/>
    </row>
    <row r="61" customFormat="false" ht="15" hidden="false" customHeight="false" outlineLevel="0" collapsed="false">
      <c r="A61" s="15" t="s">
        <v>115</v>
      </c>
      <c r="B61" s="6"/>
      <c r="C61" s="6"/>
    </row>
    <row r="62" customFormat="false" ht="15" hidden="false" customHeight="false" outlineLevel="0" collapsed="false">
      <c r="A62" s="9" t="s">
        <v>116</v>
      </c>
      <c r="B62" s="6"/>
      <c r="C62" s="6"/>
    </row>
    <row r="63" customFormat="false" ht="15" hidden="false" customHeight="false" outlineLevel="0" collapsed="false">
      <c r="A63" s="15" t="s">
        <v>117</v>
      </c>
      <c r="B63" s="6"/>
      <c r="C63" s="6"/>
    </row>
    <row r="64" customFormat="false" ht="15" hidden="false" customHeight="false" outlineLevel="0" collapsed="false">
      <c r="A64" s="9" t="s">
        <v>118</v>
      </c>
      <c r="B64" s="6"/>
      <c r="C64" s="6"/>
    </row>
    <row r="65" customFormat="false" ht="15" hidden="false" customHeight="false" outlineLevel="0" collapsed="false">
      <c r="A65" s="6"/>
      <c r="B65" s="6"/>
      <c r="C65" s="6"/>
    </row>
    <row r="66" customFormat="false" ht="15" hidden="false" customHeight="false" outlineLevel="0" collapsed="false">
      <c r="A66" s="6"/>
      <c r="B66" s="6"/>
      <c r="C66" s="6"/>
    </row>
    <row r="67" customFormat="false" ht="15" hidden="false" customHeight="false" outlineLevel="0" collapsed="false">
      <c r="A67" s="6"/>
      <c r="B67" s="6"/>
      <c r="C67" s="6"/>
    </row>
    <row r="68" customFormat="false" ht="15" hidden="false" customHeight="false" outlineLevel="0" collapsed="false">
      <c r="A68" s="6"/>
      <c r="B68" s="6"/>
      <c r="C68" s="6"/>
    </row>
    <row r="69" customFormat="false" ht="15" hidden="false" customHeight="false" outlineLevel="0" collapsed="false">
      <c r="A69" s="6"/>
      <c r="B69" s="6"/>
      <c r="C6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20"/>
    <col collapsed="false" customWidth="true" hidden="false" outlineLevel="0" max="16" min="15" style="0" width="10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21" min="19" style="0" width="10"/>
    <col collapsed="false" customWidth="true" hidden="false" outlineLevel="0" max="23" min="22" style="0" width="9"/>
    <col collapsed="false" customWidth="true" hidden="false" outlineLevel="0" max="24" min="24" style="0" width="10"/>
    <col collapsed="false" customWidth="true" hidden="false" outlineLevel="0" max="25" min="25" style="0" width="9"/>
  </cols>
  <sheetData>
    <row r="1" customFormat="false" ht="17.35" hidden="false" customHeight="false" outlineLevel="0" collapsed="false">
      <c r="A1" s="5" t="s">
        <v>119</v>
      </c>
    </row>
    <row r="2" customFormat="false" ht="15" hidden="false" customHeight="false" outlineLevel="0" collapsed="false">
      <c r="A2" s="20" t="s">
        <v>120</v>
      </c>
    </row>
    <row r="4" customFormat="false" ht="42" hidden="false" customHeight="true" outlineLevel="0" collapsed="false">
      <c r="A4" s="21" t="s">
        <v>121</v>
      </c>
      <c r="B4" s="22" t="s">
        <v>122</v>
      </c>
      <c r="C4" s="22" t="s">
        <v>123</v>
      </c>
      <c r="D4" s="22" t="s">
        <v>108</v>
      </c>
      <c r="E4" s="22" t="s">
        <v>124</v>
      </c>
      <c r="F4" s="22" t="s">
        <v>125</v>
      </c>
      <c r="G4" s="22" t="s">
        <v>126</v>
      </c>
      <c r="H4" s="22" t="s">
        <v>26</v>
      </c>
      <c r="I4" s="22" t="s">
        <v>127</v>
      </c>
      <c r="J4" s="22" t="s">
        <v>30</v>
      </c>
      <c r="K4" s="22" t="s">
        <v>32</v>
      </c>
      <c r="L4" s="22" t="s">
        <v>128</v>
      </c>
      <c r="M4" s="22" t="s">
        <v>79</v>
      </c>
      <c r="N4" s="22" t="s">
        <v>129</v>
      </c>
      <c r="O4" s="22" t="s">
        <v>130</v>
      </c>
      <c r="P4" s="22" t="s">
        <v>131</v>
      </c>
      <c r="Q4" s="22" t="s">
        <v>132</v>
      </c>
      <c r="R4" s="22" t="s">
        <v>133</v>
      </c>
      <c r="S4" s="22" t="s">
        <v>134</v>
      </c>
      <c r="T4" s="22" t="s">
        <v>135</v>
      </c>
      <c r="U4" s="22" t="s">
        <v>136</v>
      </c>
      <c r="V4" s="22" t="s">
        <v>137</v>
      </c>
      <c r="W4" s="22" t="s">
        <v>138</v>
      </c>
      <c r="X4" s="21" t="s">
        <v>139</v>
      </c>
      <c r="Y4" s="22" t="s">
        <v>99</v>
      </c>
    </row>
    <row r="5" customFormat="false" ht="15" hidden="false" customHeight="false" outlineLevel="0" collapsed="false">
      <c r="A5" s="23" t="n">
        <v>1</v>
      </c>
      <c r="B5" s="24" t="n">
        <v>46120</v>
      </c>
      <c r="C5" s="9" t="s">
        <v>140</v>
      </c>
      <c r="D5" s="9" t="s">
        <v>110</v>
      </c>
      <c r="E5" s="15" t="s">
        <v>41</v>
      </c>
      <c r="F5" s="9" t="s">
        <v>141</v>
      </c>
      <c r="G5" s="17" t="n">
        <v>2000000</v>
      </c>
      <c r="H5" s="9" t="s">
        <v>56</v>
      </c>
      <c r="I5" s="9" t="n">
        <v>2</v>
      </c>
      <c r="J5" s="9" t="s">
        <v>66</v>
      </c>
      <c r="K5" s="9" t="s">
        <v>74</v>
      </c>
      <c r="L5" s="17" t="n">
        <v>300</v>
      </c>
      <c r="M5" s="9" t="s">
        <v>81</v>
      </c>
      <c r="N5" s="9"/>
      <c r="O5" s="25" t="n">
        <f aca="false">IF($C5="","",IFERROR(INDEX(設定!$B$14:$B$18,MATCH($E5,設定!$A$14:$A$18,0)),0))</f>
        <v>100</v>
      </c>
      <c r="P5" s="25" t="n">
        <f aca="false">IF($C5="","",IF(N($G5)&lt;=1,0,MIN(100,LOG10($G5)/LOG10(設定!$B$43)*100)))</f>
        <v>90.0147142237712</v>
      </c>
      <c r="Q5" s="25" t="n">
        <f aca="false">IF($C5="","",IFERROR(INDEX(設定!$B$21:$B$24,MATCH($H5,設定!$A$21:$A$24,0)),0))</f>
        <v>75</v>
      </c>
      <c r="R5" s="25" t="n">
        <f aca="false">IF($C5="","",IF(設定!$B$45&lt;=0,0,MIN(100,N($I5)/設定!$B$45*100)))</f>
        <v>66.6666666666667</v>
      </c>
      <c r="S5" s="25" t="n">
        <f aca="false">IF($C5="","",IFERROR(INDEX(設定!$B$27:$B$29,MATCH($J5,設定!$A$27:$A$29,0)),0))</f>
        <v>60</v>
      </c>
      <c r="T5" s="25" t="n">
        <f aca="false">IF($C5="","",IFERROR(INDEX(設定!$B$32:$B$35,MATCH($K5,設定!$A$32:$A$35,0)),0))</f>
        <v>70</v>
      </c>
      <c r="U5" s="25" t="n">
        <f aca="false">IF($C5="","",IF(N($L5)&lt;1,0,MIN(100,LOG10($L5+1)/LOG10(設定!$B$44+1)*100)))</f>
        <v>61.9634896634408</v>
      </c>
      <c r="V5" s="25" t="n">
        <f aca="false">IF($C5="","",IF(設定!$B$11=0,0,(O5*設定!$B$4+P5*設定!$B$5+Q5*設定!$B$6+R5*設定!$B$7+S5*設定!$B$8+T5*設定!$B$9+U5*設定!$B$10)/設定!$B$11))</f>
        <v>79.4337149500711</v>
      </c>
      <c r="W5" s="25" t="n">
        <f aca="false">IF($C5="","",IFERROR(INDEX(設定!$B$38:$B$40,MATCH($M5,設定!$A$38:$A$40,0)),1))</f>
        <v>1</v>
      </c>
      <c r="X5" s="26" t="n">
        <f aca="false">IF($C5="","",ROUND(V5*W5,1))</f>
        <v>79.4</v>
      </c>
      <c r="Y5" s="27" t="str">
        <f aca="false">IF($C5="","",INDEX(設定!$B$49:$B$53,MATCH(X5,設定!$A$49:$A$53,1)))</f>
        <v>S</v>
      </c>
    </row>
    <row r="6" customFormat="false" ht="15" hidden="false" customHeight="false" outlineLevel="0" collapsed="false">
      <c r="A6" s="23" t="n">
        <v>2</v>
      </c>
      <c r="B6" s="24" t="n">
        <v>46127</v>
      </c>
      <c r="C6" s="9" t="s">
        <v>142</v>
      </c>
      <c r="D6" s="9" t="s">
        <v>116</v>
      </c>
      <c r="E6" s="15" t="s">
        <v>45</v>
      </c>
      <c r="F6" s="9" t="s">
        <v>143</v>
      </c>
      <c r="G6" s="17" t="n">
        <v>50000</v>
      </c>
      <c r="H6" s="9" t="s">
        <v>54</v>
      </c>
      <c r="I6" s="9" t="n">
        <v>3</v>
      </c>
      <c r="J6" s="9" t="s">
        <v>64</v>
      </c>
      <c r="K6" s="9" t="s">
        <v>72</v>
      </c>
      <c r="L6" s="17" t="n">
        <v>120</v>
      </c>
      <c r="M6" s="9" t="s">
        <v>81</v>
      </c>
      <c r="N6" s="9"/>
      <c r="O6" s="25" t="n">
        <f aca="false">IF($C6="","",IFERROR(INDEX(設定!$B$14:$B$18,MATCH($E6,設定!$A$14:$A$18,0)),0))</f>
        <v>60</v>
      </c>
      <c r="P6" s="25" t="n">
        <f aca="false">IF($C6="","",IF(N($G6)&lt;=1,0,MIN(100,LOG10($G6)/LOG10(設定!$B$43)*100)))</f>
        <v>67.128142919086</v>
      </c>
      <c r="Q6" s="25" t="n">
        <f aca="false">IF($C6="","",IFERROR(INDEX(設定!$B$21:$B$24,MATCH($H6,設定!$A$21:$A$24,0)),0))</f>
        <v>100</v>
      </c>
      <c r="R6" s="25" t="n">
        <f aca="false">IF($C6="","",IF(設定!$B$45&lt;=0,0,MIN(100,N($I6)/設定!$B$45*100)))</f>
        <v>100</v>
      </c>
      <c r="S6" s="25" t="n">
        <f aca="false">IF($C6="","",IFERROR(INDEX(設定!$B$27:$B$29,MATCH($J6,設定!$A$27:$A$29,0)),0))</f>
        <v>100</v>
      </c>
      <c r="T6" s="25" t="n">
        <f aca="false">IF($C6="","",IFERROR(INDEX(設定!$B$32:$B$35,MATCH($K6,設定!$A$32:$A$35,0)),0))</f>
        <v>100</v>
      </c>
      <c r="U6" s="25" t="n">
        <f aca="false">IF($C6="","",IF(N($L6)&lt;1,0,MIN(100,LOG10($L6+1)/LOG10(設定!$B$44+1)*100)))</f>
        <v>52.0690689534429</v>
      </c>
      <c r="V6" s="25" t="n">
        <f aca="false">IF($C6="","",IF(設定!$B$11=0,0,(O6*設定!$B$4+P6*設定!$B$5+Q6*設定!$B$6+R6*設定!$B$7+S6*設定!$B$8+T6*設定!$B$9+U6*設定!$B$10)/設定!$B$11))</f>
        <v>82.672674885535</v>
      </c>
      <c r="W6" s="25" t="n">
        <f aca="false">IF($C6="","",IFERROR(INDEX(設定!$B$38:$B$40,MATCH($M6,設定!$A$38:$A$40,0)),1))</f>
        <v>1</v>
      </c>
      <c r="X6" s="26" t="n">
        <f aca="false">IF($C6="","",ROUND(V6*W6,1))</f>
        <v>82.7</v>
      </c>
      <c r="Y6" s="27" t="str">
        <f aca="false">IF($C6="","",INDEX(設定!$B$49:$B$53,MATCH(X6,設定!$A$49:$A$53,1)))</f>
        <v>S</v>
      </c>
    </row>
    <row r="7" customFormat="false" ht="15" hidden="false" customHeight="false" outlineLevel="0" collapsed="false">
      <c r="A7" s="23" t="n">
        <v>3</v>
      </c>
      <c r="B7" s="24" t="n">
        <v>46144</v>
      </c>
      <c r="C7" s="9" t="s">
        <v>144</v>
      </c>
      <c r="D7" s="15" t="s">
        <v>115</v>
      </c>
      <c r="E7" s="15" t="s">
        <v>43</v>
      </c>
      <c r="F7" s="9" t="s">
        <v>145</v>
      </c>
      <c r="G7" s="17" t="n">
        <v>8000000</v>
      </c>
      <c r="H7" s="9" t="s">
        <v>58</v>
      </c>
      <c r="I7" s="9" t="n">
        <v>1</v>
      </c>
      <c r="J7" s="9" t="s">
        <v>66</v>
      </c>
      <c r="K7" s="9" t="s">
        <v>76</v>
      </c>
      <c r="L7" s="17" t="n">
        <v>1500</v>
      </c>
      <c r="M7" s="9" t="s">
        <v>83</v>
      </c>
      <c r="N7" s="9"/>
      <c r="O7" s="25" t="n">
        <f aca="false">IF($C7="","",IFERROR(INDEX(設定!$B$14:$B$18,MATCH($E7,設定!$A$14:$A$18,0)),0))</f>
        <v>80</v>
      </c>
      <c r="P7" s="25" t="n">
        <f aca="false">IF($C7="","",IF(N($G7)&lt;=1,0,MIN(100,LOG10($G7)/LOG10(設定!$B$43)*100)))</f>
        <v>98.6155712427421</v>
      </c>
      <c r="Q7" s="25" t="n">
        <f aca="false">IF($C7="","",IFERROR(INDEX(設定!$B$21:$B$24,MATCH($H7,設定!$A$21:$A$24,0)),0))</f>
        <v>40</v>
      </c>
      <c r="R7" s="25" t="n">
        <f aca="false">IF($C7="","",IF(設定!$B$45&lt;=0,0,MIN(100,N($I7)/設定!$B$45*100)))</f>
        <v>33.3333333333333</v>
      </c>
      <c r="S7" s="25" t="n">
        <f aca="false">IF($C7="","",IFERROR(INDEX(設定!$B$27:$B$29,MATCH($J7,設定!$A$27:$A$29,0)),0))</f>
        <v>60</v>
      </c>
      <c r="T7" s="25" t="n">
        <f aca="false">IF($C7="","",IFERROR(INDEX(設定!$B$32:$B$35,MATCH($K7,設定!$A$32:$A$35,0)),0))</f>
        <v>0</v>
      </c>
      <c r="U7" s="25" t="n">
        <f aca="false">IF($C7="","",IF(N($L7)&lt;1,0,MIN(100,LOG10($L7+1)/LOG10(設定!$B$44+1)*100)))</f>
        <v>79.4086551806683</v>
      </c>
      <c r="V7" s="25" t="n">
        <f aca="false">IF($C7="","",IF(設定!$B$11=0,0,(O7*設定!$B$4+P7*設定!$B$5+Q7*設定!$B$6+R7*設定!$B$7+S7*設定!$B$8+T7*設定!$B$9+U7*設定!$B$10)/設定!$B$11))</f>
        <v>59.4294351121114</v>
      </c>
      <c r="W7" s="25" t="n">
        <f aca="false">IF($C7="","",IFERROR(INDEX(設定!$B$38:$B$40,MATCH($M7,設定!$A$38:$A$40,0)),1))</f>
        <v>0.8</v>
      </c>
      <c r="X7" s="26" t="n">
        <f aca="false">IF($C7="","",ROUND(V7*W7,1))</f>
        <v>47.5</v>
      </c>
      <c r="Y7" s="27" t="str">
        <f aca="false">IF($C7="","",INDEX(設定!$B$49:$B$53,MATCH(X7,設定!$A$49:$A$53,1)))</f>
        <v>B</v>
      </c>
    </row>
    <row r="8" customFormat="false" ht="15" hidden="false" customHeight="false" outlineLevel="0" collapsed="false">
      <c r="A8" s="23" t="n">
        <v>4</v>
      </c>
      <c r="B8" s="24" t="n">
        <v>46162</v>
      </c>
      <c r="C8" s="9" t="s">
        <v>146</v>
      </c>
      <c r="D8" s="9" t="s">
        <v>112</v>
      </c>
      <c r="E8" s="15" t="s">
        <v>41</v>
      </c>
      <c r="F8" s="9" t="s">
        <v>147</v>
      </c>
      <c r="G8" s="17" t="n">
        <v>5000000</v>
      </c>
      <c r="H8" s="9" t="s">
        <v>56</v>
      </c>
      <c r="I8" s="9" t="n">
        <v>2</v>
      </c>
      <c r="J8" s="9" t="s">
        <v>64</v>
      </c>
      <c r="K8" s="9" t="s">
        <v>72</v>
      </c>
      <c r="L8" s="17" t="n">
        <v>4000</v>
      </c>
      <c r="M8" s="9" t="s">
        <v>81</v>
      </c>
      <c r="N8" s="9"/>
      <c r="O8" s="25" t="n">
        <f aca="false">IF($C8="","",IFERROR(INDEX(設定!$B$14:$B$18,MATCH($E8,設定!$A$14:$A$18,0)),0))</f>
        <v>100</v>
      </c>
      <c r="P8" s="25" t="n">
        <f aca="false">IF($C8="","",IF(N($G8)&lt;=1,0,MIN(100,LOG10($G8)/LOG10(設定!$B$43)*100)))</f>
        <v>95.6995714905146</v>
      </c>
      <c r="Q8" s="25" t="n">
        <f aca="false">IF($C8="","",IFERROR(INDEX(設定!$B$21:$B$24,MATCH($H8,設定!$A$21:$A$24,0)),0))</f>
        <v>75</v>
      </c>
      <c r="R8" s="25" t="n">
        <f aca="false">IF($C8="","",IF(設定!$B$45&lt;=0,0,MIN(100,N($I8)/設定!$B$45*100)))</f>
        <v>66.6666666666667</v>
      </c>
      <c r="S8" s="25" t="n">
        <f aca="false">IF($C8="","",IFERROR(INDEX(設定!$B$27:$B$29,MATCH($J8,設定!$A$27:$A$29,0)),0))</f>
        <v>100</v>
      </c>
      <c r="T8" s="25" t="n">
        <f aca="false">IF($C8="","",IFERROR(INDEX(設定!$B$32:$B$35,MATCH($K8,設定!$A$32:$A$35,0)),0))</f>
        <v>100</v>
      </c>
      <c r="U8" s="25" t="n">
        <f aca="false">IF($C8="","",IF(N($L8)&lt;1,0,MIN(100,LOG10($L8+1)/LOG10(設定!$B$44+1)*100)))</f>
        <v>90.0532360927709</v>
      </c>
      <c r="V8" s="25" t="n">
        <f aca="false">IF($C8="","",IF(設定!$B$11=0,0,(O8*設定!$B$4+P8*設定!$B$5+Q8*設定!$B$6+R8*設定!$B$7+S8*設定!$B$8+T8*設定!$B$9+U8*設定!$B$10)/設定!$B$11))</f>
        <v>87.1909308615491</v>
      </c>
      <c r="W8" s="25" t="n">
        <f aca="false">IF($C8="","",IFERROR(INDEX(設定!$B$38:$B$40,MATCH($M8,設定!$A$38:$A$40,0)),1))</f>
        <v>1</v>
      </c>
      <c r="X8" s="26" t="n">
        <f aca="false">IF($C8="","",ROUND(V8*W8,1))</f>
        <v>87.2</v>
      </c>
      <c r="Y8" s="27" t="str">
        <f aca="false">IF($C8="","",INDEX(設定!$B$49:$B$53,MATCH(X8,設定!$A$49:$A$53,1)))</f>
        <v>S</v>
      </c>
    </row>
    <row r="9" customFormat="false" ht="15" hidden="false" customHeight="false" outlineLevel="0" collapsed="false">
      <c r="A9" s="23" t="n">
        <v>5</v>
      </c>
      <c r="B9" s="24" t="n">
        <v>46176</v>
      </c>
      <c r="C9" s="9" t="s">
        <v>148</v>
      </c>
      <c r="D9" s="9" t="s">
        <v>114</v>
      </c>
      <c r="E9" s="15" t="s">
        <v>43</v>
      </c>
      <c r="F9" s="9" t="s">
        <v>149</v>
      </c>
      <c r="G9" s="17" t="n">
        <v>150000</v>
      </c>
      <c r="H9" s="9" t="s">
        <v>58</v>
      </c>
      <c r="I9" s="9" t="n">
        <v>0</v>
      </c>
      <c r="J9" s="9" t="s">
        <v>66</v>
      </c>
      <c r="K9" s="9" t="s">
        <v>75</v>
      </c>
      <c r="L9" s="17" t="n">
        <v>50</v>
      </c>
      <c r="M9" s="9" t="s">
        <v>85</v>
      </c>
      <c r="N9" s="9"/>
      <c r="O9" s="25" t="n">
        <f aca="false">IF($C9="","",IFERROR(INDEX(設定!$B$14:$B$18,MATCH($E9,設定!$A$14:$A$18,0)),0))</f>
        <v>80</v>
      </c>
      <c r="P9" s="25" t="n">
        <f aca="false">IF($C9="","",IF(N($G9)&lt;=1,0,MIN(100,LOG10($G9)/LOG10(設定!$B$43)*100)))</f>
        <v>73.9441608436526</v>
      </c>
      <c r="Q9" s="25" t="n">
        <f aca="false">IF($C9="","",IFERROR(INDEX(設定!$B$21:$B$24,MATCH($H9,設定!$A$21:$A$24,0)),0))</f>
        <v>40</v>
      </c>
      <c r="R9" s="25" t="n">
        <f aca="false">IF($C9="","",IF(設定!$B$45&lt;=0,0,MIN(100,N($I9)/設定!$B$45*100)))</f>
        <v>0</v>
      </c>
      <c r="S9" s="25" t="n">
        <f aca="false">IF($C9="","",IFERROR(INDEX(設定!$B$27:$B$29,MATCH($J9,設定!$A$27:$A$29,0)),0))</f>
        <v>60</v>
      </c>
      <c r="T9" s="25" t="n">
        <f aca="false">IF($C9="","",IFERROR(INDEX(設定!$B$32:$B$35,MATCH($K9,設定!$A$32:$A$35,0)),0))</f>
        <v>50</v>
      </c>
      <c r="U9" s="25" t="n">
        <f aca="false">IF($C9="","",IF(N($L9)&lt;1,0,MIN(100,LOG10($L9+1)/LOG10(設定!$B$44+1)*100)))</f>
        <v>42.6887909379627</v>
      </c>
      <c r="V9" s="25" t="n">
        <f aca="false">IF($C9="","",IF(設定!$B$11=0,0,(O9*設定!$B$4+P9*設定!$B$5+Q9*設定!$B$6+R9*設定!$B$7+S9*設定!$B$8+T9*設定!$B$9+U9*設定!$B$10)/設定!$B$11))</f>
        <v>49.726063673446</v>
      </c>
      <c r="W9" s="25" t="n">
        <f aca="false">IF($C9="","",IFERROR(INDEX(設定!$B$38:$B$40,MATCH($M9,設定!$A$38:$A$40,0)),1))</f>
        <v>-0.5</v>
      </c>
      <c r="X9" s="26" t="n">
        <f aca="false">IF($C9="","",ROUND(V9*W9,1))</f>
        <v>-24.9</v>
      </c>
      <c r="Y9" s="27" t="str">
        <f aca="false">IF($C9="","",INDEX(設定!$B$49:$B$53,MATCH(X9,設定!$A$49:$A$53,1)))</f>
        <v>要対応</v>
      </c>
    </row>
    <row r="10" customFormat="false" ht="15" hidden="false" customHeight="false" outlineLevel="0" collapsed="false">
      <c r="A10" s="23" t="n">
        <v>6</v>
      </c>
      <c r="B10" s="24"/>
      <c r="C10" s="9"/>
      <c r="D10" s="9"/>
      <c r="E10" s="15"/>
      <c r="F10" s="9"/>
      <c r="G10" s="17"/>
      <c r="H10" s="9"/>
      <c r="I10" s="9"/>
      <c r="J10" s="9"/>
      <c r="K10" s="9"/>
      <c r="L10" s="17"/>
      <c r="M10" s="9"/>
      <c r="N10" s="9"/>
      <c r="O10" s="25" t="str">
        <f aca="false">IF($C10="","",IFERROR(INDEX(設定!$B$14:$B$18,MATCH($E10,設定!$A$14:$A$18,0)),0))</f>
        <v/>
      </c>
      <c r="P10" s="25" t="str">
        <f aca="false">IF($C10="","",IF(N($G10)&lt;=1,0,MIN(100,LOG10($G10)/LOG10(設定!$B$43)*100)))</f>
        <v/>
      </c>
      <c r="Q10" s="25" t="str">
        <f aca="false">IF($C10="","",IFERROR(INDEX(設定!$B$21:$B$24,MATCH($H10,設定!$A$21:$A$24,0)),0))</f>
        <v/>
      </c>
      <c r="R10" s="25" t="str">
        <f aca="false">IF($C10="","",IF(設定!$B$45&lt;=0,0,MIN(100,N($I10)/設定!$B$45*100)))</f>
        <v/>
      </c>
      <c r="S10" s="25" t="str">
        <f aca="false">IF($C10="","",IFERROR(INDEX(設定!$B$27:$B$29,MATCH($J10,設定!$A$27:$A$29,0)),0))</f>
        <v/>
      </c>
      <c r="T10" s="25" t="str">
        <f aca="false">IF($C10="","",IFERROR(INDEX(設定!$B$32:$B$35,MATCH($K10,設定!$A$32:$A$35,0)),0))</f>
        <v/>
      </c>
      <c r="U10" s="25" t="str">
        <f aca="false">IF($C10="","",IF(N($L10)&lt;1,0,MIN(100,LOG10($L10+1)/LOG10(設定!$B$44+1)*100)))</f>
        <v/>
      </c>
      <c r="V10" s="25" t="str">
        <f aca="false">IF($C10="","",IF(設定!$B$11=0,0,(O10*設定!$B$4+P10*設定!$B$5+Q10*設定!$B$6+R10*設定!$B$7+S10*設定!$B$8+T10*設定!$B$9+U10*設定!$B$10)/設定!$B$11))</f>
        <v/>
      </c>
      <c r="W10" s="25" t="str">
        <f aca="false">IF($C10="","",IFERROR(INDEX(設定!$B$38:$B$40,MATCH($M10,設定!$A$38:$A$40,0)),1))</f>
        <v/>
      </c>
      <c r="X10" s="26" t="str">
        <f aca="false">IF($C10="","",ROUND(V10*W10,1))</f>
        <v/>
      </c>
      <c r="Y10" s="27" t="str">
        <f aca="false">IF($C10="","",INDEX(設定!$B$49:$B$53,MATCH(X10,設定!$A$49:$A$53,1)))</f>
        <v/>
      </c>
    </row>
    <row r="11" customFormat="false" ht="15" hidden="false" customHeight="false" outlineLevel="0" collapsed="false">
      <c r="A11" s="23" t="n">
        <v>7</v>
      </c>
      <c r="B11" s="24"/>
      <c r="C11" s="9"/>
      <c r="D11" s="9"/>
      <c r="E11" s="15"/>
      <c r="F11" s="9"/>
      <c r="G11" s="17"/>
      <c r="H11" s="9"/>
      <c r="I11" s="9"/>
      <c r="J11" s="9"/>
      <c r="K11" s="9"/>
      <c r="L11" s="17"/>
      <c r="M11" s="9"/>
      <c r="N11" s="9"/>
      <c r="O11" s="25" t="str">
        <f aca="false">IF($C11="","",IFERROR(INDEX(設定!$B$14:$B$18,MATCH($E11,設定!$A$14:$A$18,0)),0))</f>
        <v/>
      </c>
      <c r="P11" s="25" t="str">
        <f aca="false">IF($C11="","",IF(N($G11)&lt;=1,0,MIN(100,LOG10($G11)/LOG10(設定!$B$43)*100)))</f>
        <v/>
      </c>
      <c r="Q11" s="25" t="str">
        <f aca="false">IF($C11="","",IFERROR(INDEX(設定!$B$21:$B$24,MATCH($H11,設定!$A$21:$A$24,0)),0))</f>
        <v/>
      </c>
      <c r="R11" s="25" t="str">
        <f aca="false">IF($C11="","",IF(設定!$B$45&lt;=0,0,MIN(100,N($I11)/設定!$B$45*100)))</f>
        <v/>
      </c>
      <c r="S11" s="25" t="str">
        <f aca="false">IF($C11="","",IFERROR(INDEX(設定!$B$27:$B$29,MATCH($J11,設定!$A$27:$A$29,0)),0))</f>
        <v/>
      </c>
      <c r="T11" s="25" t="str">
        <f aca="false">IF($C11="","",IFERROR(INDEX(設定!$B$32:$B$35,MATCH($K11,設定!$A$32:$A$35,0)),0))</f>
        <v/>
      </c>
      <c r="U11" s="25" t="str">
        <f aca="false">IF($C11="","",IF(N($L11)&lt;1,0,MIN(100,LOG10($L11+1)/LOG10(設定!$B$44+1)*100)))</f>
        <v/>
      </c>
      <c r="V11" s="25" t="str">
        <f aca="false">IF($C11="","",IF(設定!$B$11=0,0,(O11*設定!$B$4+P11*設定!$B$5+Q11*設定!$B$6+R11*設定!$B$7+S11*設定!$B$8+T11*設定!$B$9+U11*設定!$B$10)/設定!$B$11))</f>
        <v/>
      </c>
      <c r="W11" s="25" t="str">
        <f aca="false">IF($C11="","",IFERROR(INDEX(設定!$B$38:$B$40,MATCH($M11,設定!$A$38:$A$40,0)),1))</f>
        <v/>
      </c>
      <c r="X11" s="26" t="str">
        <f aca="false">IF($C11="","",ROUND(V11*W11,1))</f>
        <v/>
      </c>
      <c r="Y11" s="27" t="str">
        <f aca="false">IF($C11="","",INDEX(設定!$B$49:$B$53,MATCH(X11,設定!$A$49:$A$53,1)))</f>
        <v/>
      </c>
    </row>
    <row r="12" customFormat="false" ht="15" hidden="false" customHeight="false" outlineLevel="0" collapsed="false">
      <c r="A12" s="23" t="n">
        <v>8</v>
      </c>
      <c r="B12" s="24"/>
      <c r="C12" s="9"/>
      <c r="D12" s="9"/>
      <c r="E12" s="15"/>
      <c r="F12" s="9"/>
      <c r="G12" s="17"/>
      <c r="H12" s="9"/>
      <c r="I12" s="9"/>
      <c r="J12" s="9"/>
      <c r="K12" s="9"/>
      <c r="L12" s="17"/>
      <c r="M12" s="9"/>
      <c r="N12" s="9"/>
      <c r="O12" s="25" t="str">
        <f aca="false">IF($C12="","",IFERROR(INDEX(設定!$B$14:$B$18,MATCH($E12,設定!$A$14:$A$18,0)),0))</f>
        <v/>
      </c>
      <c r="P12" s="25" t="str">
        <f aca="false">IF($C12="","",IF(N($G12)&lt;=1,0,MIN(100,LOG10($G12)/LOG10(設定!$B$43)*100)))</f>
        <v/>
      </c>
      <c r="Q12" s="25" t="str">
        <f aca="false">IF($C12="","",IFERROR(INDEX(設定!$B$21:$B$24,MATCH($H12,設定!$A$21:$A$24,0)),0))</f>
        <v/>
      </c>
      <c r="R12" s="25" t="str">
        <f aca="false">IF($C12="","",IF(設定!$B$45&lt;=0,0,MIN(100,N($I12)/設定!$B$45*100)))</f>
        <v/>
      </c>
      <c r="S12" s="25" t="str">
        <f aca="false">IF($C12="","",IFERROR(INDEX(設定!$B$27:$B$29,MATCH($J12,設定!$A$27:$A$29,0)),0))</f>
        <v/>
      </c>
      <c r="T12" s="25" t="str">
        <f aca="false">IF($C12="","",IFERROR(INDEX(設定!$B$32:$B$35,MATCH($K12,設定!$A$32:$A$35,0)),0))</f>
        <v/>
      </c>
      <c r="U12" s="25" t="str">
        <f aca="false">IF($C12="","",IF(N($L12)&lt;1,0,MIN(100,LOG10($L12+1)/LOG10(設定!$B$44+1)*100)))</f>
        <v/>
      </c>
      <c r="V12" s="25" t="str">
        <f aca="false">IF($C12="","",IF(設定!$B$11=0,0,(O12*設定!$B$4+P12*設定!$B$5+Q12*設定!$B$6+R12*設定!$B$7+S12*設定!$B$8+T12*設定!$B$9+U12*設定!$B$10)/設定!$B$11))</f>
        <v/>
      </c>
      <c r="W12" s="25" t="str">
        <f aca="false">IF($C12="","",IFERROR(INDEX(設定!$B$38:$B$40,MATCH($M12,設定!$A$38:$A$40,0)),1))</f>
        <v/>
      </c>
      <c r="X12" s="26" t="str">
        <f aca="false">IF($C12="","",ROUND(V12*W12,1))</f>
        <v/>
      </c>
      <c r="Y12" s="27" t="str">
        <f aca="false">IF($C12="","",INDEX(設定!$B$49:$B$53,MATCH(X12,設定!$A$49:$A$53,1)))</f>
        <v/>
      </c>
    </row>
    <row r="13" customFormat="false" ht="15" hidden="false" customHeight="false" outlineLevel="0" collapsed="false">
      <c r="A13" s="23" t="n">
        <v>9</v>
      </c>
      <c r="B13" s="24"/>
      <c r="C13" s="9"/>
      <c r="D13" s="9"/>
      <c r="E13" s="15"/>
      <c r="F13" s="9"/>
      <c r="G13" s="17"/>
      <c r="H13" s="9"/>
      <c r="I13" s="9"/>
      <c r="J13" s="9"/>
      <c r="K13" s="9"/>
      <c r="L13" s="17"/>
      <c r="M13" s="9"/>
      <c r="N13" s="9"/>
      <c r="O13" s="25" t="str">
        <f aca="false">IF($C13="","",IFERROR(INDEX(設定!$B$14:$B$18,MATCH($E13,設定!$A$14:$A$18,0)),0))</f>
        <v/>
      </c>
      <c r="P13" s="25" t="str">
        <f aca="false">IF($C13="","",IF(N($G13)&lt;=1,0,MIN(100,LOG10($G13)/LOG10(設定!$B$43)*100)))</f>
        <v/>
      </c>
      <c r="Q13" s="25" t="str">
        <f aca="false">IF($C13="","",IFERROR(INDEX(設定!$B$21:$B$24,MATCH($H13,設定!$A$21:$A$24,0)),0))</f>
        <v/>
      </c>
      <c r="R13" s="25" t="str">
        <f aca="false">IF($C13="","",IF(設定!$B$45&lt;=0,0,MIN(100,N($I13)/設定!$B$45*100)))</f>
        <v/>
      </c>
      <c r="S13" s="25" t="str">
        <f aca="false">IF($C13="","",IFERROR(INDEX(設定!$B$27:$B$29,MATCH($J13,設定!$A$27:$A$29,0)),0))</f>
        <v/>
      </c>
      <c r="T13" s="25" t="str">
        <f aca="false">IF($C13="","",IFERROR(INDEX(設定!$B$32:$B$35,MATCH($K13,設定!$A$32:$A$35,0)),0))</f>
        <v/>
      </c>
      <c r="U13" s="25" t="str">
        <f aca="false">IF($C13="","",IF(N($L13)&lt;1,0,MIN(100,LOG10($L13+1)/LOG10(設定!$B$44+1)*100)))</f>
        <v/>
      </c>
      <c r="V13" s="25" t="str">
        <f aca="false">IF($C13="","",IF(設定!$B$11=0,0,(O13*設定!$B$4+P13*設定!$B$5+Q13*設定!$B$6+R13*設定!$B$7+S13*設定!$B$8+T13*設定!$B$9+U13*設定!$B$10)/設定!$B$11))</f>
        <v/>
      </c>
      <c r="W13" s="25" t="str">
        <f aca="false">IF($C13="","",IFERROR(INDEX(設定!$B$38:$B$40,MATCH($M13,設定!$A$38:$A$40,0)),1))</f>
        <v/>
      </c>
      <c r="X13" s="26" t="str">
        <f aca="false">IF($C13="","",ROUND(V13*W13,1))</f>
        <v/>
      </c>
      <c r="Y13" s="27" t="str">
        <f aca="false">IF($C13="","",INDEX(設定!$B$49:$B$53,MATCH(X13,設定!$A$49:$A$53,1)))</f>
        <v/>
      </c>
    </row>
    <row r="14" customFormat="false" ht="15" hidden="false" customHeight="false" outlineLevel="0" collapsed="false">
      <c r="A14" s="23" t="n">
        <v>10</v>
      </c>
      <c r="B14" s="24"/>
      <c r="C14" s="9"/>
      <c r="D14" s="9"/>
      <c r="E14" s="15"/>
      <c r="F14" s="9"/>
      <c r="G14" s="17"/>
      <c r="H14" s="9"/>
      <c r="I14" s="9"/>
      <c r="J14" s="9"/>
      <c r="K14" s="9"/>
      <c r="L14" s="17"/>
      <c r="M14" s="9"/>
      <c r="N14" s="9"/>
      <c r="O14" s="25" t="str">
        <f aca="false">IF($C14="","",IFERROR(INDEX(設定!$B$14:$B$18,MATCH($E14,設定!$A$14:$A$18,0)),0))</f>
        <v/>
      </c>
      <c r="P14" s="25" t="str">
        <f aca="false">IF($C14="","",IF(N($G14)&lt;=1,0,MIN(100,LOG10($G14)/LOG10(設定!$B$43)*100)))</f>
        <v/>
      </c>
      <c r="Q14" s="25" t="str">
        <f aca="false">IF($C14="","",IFERROR(INDEX(設定!$B$21:$B$24,MATCH($H14,設定!$A$21:$A$24,0)),0))</f>
        <v/>
      </c>
      <c r="R14" s="25" t="str">
        <f aca="false">IF($C14="","",IF(設定!$B$45&lt;=0,0,MIN(100,N($I14)/設定!$B$45*100)))</f>
        <v/>
      </c>
      <c r="S14" s="25" t="str">
        <f aca="false">IF($C14="","",IFERROR(INDEX(設定!$B$27:$B$29,MATCH($J14,設定!$A$27:$A$29,0)),0))</f>
        <v/>
      </c>
      <c r="T14" s="25" t="str">
        <f aca="false">IF($C14="","",IFERROR(INDEX(設定!$B$32:$B$35,MATCH($K14,設定!$A$32:$A$35,0)),0))</f>
        <v/>
      </c>
      <c r="U14" s="25" t="str">
        <f aca="false">IF($C14="","",IF(N($L14)&lt;1,0,MIN(100,LOG10($L14+1)/LOG10(設定!$B$44+1)*100)))</f>
        <v/>
      </c>
      <c r="V14" s="25" t="str">
        <f aca="false">IF($C14="","",IF(設定!$B$11=0,0,(O14*設定!$B$4+P14*設定!$B$5+Q14*設定!$B$6+R14*設定!$B$7+S14*設定!$B$8+T14*設定!$B$9+U14*設定!$B$10)/設定!$B$11))</f>
        <v/>
      </c>
      <c r="W14" s="25" t="str">
        <f aca="false">IF($C14="","",IFERROR(INDEX(設定!$B$38:$B$40,MATCH($M14,設定!$A$38:$A$40,0)),1))</f>
        <v/>
      </c>
      <c r="X14" s="26" t="str">
        <f aca="false">IF($C14="","",ROUND(V14*W14,1))</f>
        <v/>
      </c>
      <c r="Y14" s="27" t="str">
        <f aca="false">IF($C14="","",INDEX(設定!$B$49:$B$53,MATCH(X14,設定!$A$49:$A$53,1)))</f>
        <v/>
      </c>
    </row>
    <row r="15" customFormat="false" ht="15" hidden="false" customHeight="false" outlineLevel="0" collapsed="false">
      <c r="A15" s="23" t="n">
        <v>11</v>
      </c>
      <c r="B15" s="24"/>
      <c r="C15" s="9"/>
      <c r="D15" s="9"/>
      <c r="E15" s="15"/>
      <c r="F15" s="9"/>
      <c r="G15" s="17"/>
      <c r="H15" s="9"/>
      <c r="I15" s="9"/>
      <c r="J15" s="9"/>
      <c r="K15" s="9"/>
      <c r="L15" s="17"/>
      <c r="M15" s="9"/>
      <c r="N15" s="9"/>
      <c r="O15" s="25" t="str">
        <f aca="false">IF($C15="","",IFERROR(INDEX(設定!$B$14:$B$18,MATCH($E15,設定!$A$14:$A$18,0)),0))</f>
        <v/>
      </c>
      <c r="P15" s="25" t="str">
        <f aca="false">IF($C15="","",IF(N($G15)&lt;=1,0,MIN(100,LOG10($G15)/LOG10(設定!$B$43)*100)))</f>
        <v/>
      </c>
      <c r="Q15" s="25" t="str">
        <f aca="false">IF($C15="","",IFERROR(INDEX(設定!$B$21:$B$24,MATCH($H15,設定!$A$21:$A$24,0)),0))</f>
        <v/>
      </c>
      <c r="R15" s="25" t="str">
        <f aca="false">IF($C15="","",IF(設定!$B$45&lt;=0,0,MIN(100,N($I15)/設定!$B$45*100)))</f>
        <v/>
      </c>
      <c r="S15" s="25" t="str">
        <f aca="false">IF($C15="","",IFERROR(INDEX(設定!$B$27:$B$29,MATCH($J15,設定!$A$27:$A$29,0)),0))</f>
        <v/>
      </c>
      <c r="T15" s="25" t="str">
        <f aca="false">IF($C15="","",IFERROR(INDEX(設定!$B$32:$B$35,MATCH($K15,設定!$A$32:$A$35,0)),0))</f>
        <v/>
      </c>
      <c r="U15" s="25" t="str">
        <f aca="false">IF($C15="","",IF(N($L15)&lt;1,0,MIN(100,LOG10($L15+1)/LOG10(設定!$B$44+1)*100)))</f>
        <v/>
      </c>
      <c r="V15" s="25" t="str">
        <f aca="false">IF($C15="","",IF(設定!$B$11=0,0,(O15*設定!$B$4+P15*設定!$B$5+Q15*設定!$B$6+R15*設定!$B$7+S15*設定!$B$8+T15*設定!$B$9+U15*設定!$B$10)/設定!$B$11))</f>
        <v/>
      </c>
      <c r="W15" s="25" t="str">
        <f aca="false">IF($C15="","",IFERROR(INDEX(設定!$B$38:$B$40,MATCH($M15,設定!$A$38:$A$40,0)),1))</f>
        <v/>
      </c>
      <c r="X15" s="26" t="str">
        <f aca="false">IF($C15="","",ROUND(V15*W15,1))</f>
        <v/>
      </c>
      <c r="Y15" s="27" t="str">
        <f aca="false">IF($C15="","",INDEX(設定!$B$49:$B$53,MATCH(X15,設定!$A$49:$A$53,1)))</f>
        <v/>
      </c>
    </row>
    <row r="16" customFormat="false" ht="15" hidden="false" customHeight="false" outlineLevel="0" collapsed="false">
      <c r="A16" s="23" t="n">
        <v>12</v>
      </c>
      <c r="B16" s="24"/>
      <c r="C16" s="9"/>
      <c r="D16" s="9"/>
      <c r="E16" s="15"/>
      <c r="F16" s="9"/>
      <c r="G16" s="17"/>
      <c r="H16" s="9"/>
      <c r="I16" s="9"/>
      <c r="J16" s="9"/>
      <c r="K16" s="9"/>
      <c r="L16" s="17"/>
      <c r="M16" s="9"/>
      <c r="N16" s="9"/>
      <c r="O16" s="25" t="str">
        <f aca="false">IF($C16="","",IFERROR(INDEX(設定!$B$14:$B$18,MATCH($E16,設定!$A$14:$A$18,0)),0))</f>
        <v/>
      </c>
      <c r="P16" s="25" t="str">
        <f aca="false">IF($C16="","",IF(N($G16)&lt;=1,0,MIN(100,LOG10($G16)/LOG10(設定!$B$43)*100)))</f>
        <v/>
      </c>
      <c r="Q16" s="25" t="str">
        <f aca="false">IF($C16="","",IFERROR(INDEX(設定!$B$21:$B$24,MATCH($H16,設定!$A$21:$A$24,0)),0))</f>
        <v/>
      </c>
      <c r="R16" s="25" t="str">
        <f aca="false">IF($C16="","",IF(設定!$B$45&lt;=0,0,MIN(100,N($I16)/設定!$B$45*100)))</f>
        <v/>
      </c>
      <c r="S16" s="25" t="str">
        <f aca="false">IF($C16="","",IFERROR(INDEX(設定!$B$27:$B$29,MATCH($J16,設定!$A$27:$A$29,0)),0))</f>
        <v/>
      </c>
      <c r="T16" s="25" t="str">
        <f aca="false">IF($C16="","",IFERROR(INDEX(設定!$B$32:$B$35,MATCH($K16,設定!$A$32:$A$35,0)),0))</f>
        <v/>
      </c>
      <c r="U16" s="25" t="str">
        <f aca="false">IF($C16="","",IF(N($L16)&lt;1,0,MIN(100,LOG10($L16+1)/LOG10(設定!$B$44+1)*100)))</f>
        <v/>
      </c>
      <c r="V16" s="25" t="str">
        <f aca="false">IF($C16="","",IF(設定!$B$11=0,0,(O16*設定!$B$4+P16*設定!$B$5+Q16*設定!$B$6+R16*設定!$B$7+S16*設定!$B$8+T16*設定!$B$9+U16*設定!$B$10)/設定!$B$11))</f>
        <v/>
      </c>
      <c r="W16" s="25" t="str">
        <f aca="false">IF($C16="","",IFERROR(INDEX(設定!$B$38:$B$40,MATCH($M16,設定!$A$38:$A$40,0)),1))</f>
        <v/>
      </c>
      <c r="X16" s="26" t="str">
        <f aca="false">IF($C16="","",ROUND(V16*W16,1))</f>
        <v/>
      </c>
      <c r="Y16" s="27" t="str">
        <f aca="false">IF($C16="","",INDEX(設定!$B$49:$B$53,MATCH(X16,設定!$A$49:$A$53,1)))</f>
        <v/>
      </c>
    </row>
    <row r="17" customFormat="false" ht="15" hidden="false" customHeight="false" outlineLevel="0" collapsed="false">
      <c r="A17" s="23" t="n">
        <v>13</v>
      </c>
      <c r="B17" s="24"/>
      <c r="C17" s="9"/>
      <c r="D17" s="9"/>
      <c r="E17" s="15"/>
      <c r="F17" s="9"/>
      <c r="G17" s="17"/>
      <c r="H17" s="9"/>
      <c r="I17" s="9"/>
      <c r="J17" s="9"/>
      <c r="K17" s="9"/>
      <c r="L17" s="17"/>
      <c r="M17" s="9"/>
      <c r="N17" s="9"/>
      <c r="O17" s="25" t="str">
        <f aca="false">IF($C17="","",IFERROR(INDEX(設定!$B$14:$B$18,MATCH($E17,設定!$A$14:$A$18,0)),0))</f>
        <v/>
      </c>
      <c r="P17" s="25" t="str">
        <f aca="false">IF($C17="","",IF(N($G17)&lt;=1,0,MIN(100,LOG10($G17)/LOG10(設定!$B$43)*100)))</f>
        <v/>
      </c>
      <c r="Q17" s="25" t="str">
        <f aca="false">IF($C17="","",IFERROR(INDEX(設定!$B$21:$B$24,MATCH($H17,設定!$A$21:$A$24,0)),0))</f>
        <v/>
      </c>
      <c r="R17" s="25" t="str">
        <f aca="false">IF($C17="","",IF(設定!$B$45&lt;=0,0,MIN(100,N($I17)/設定!$B$45*100)))</f>
        <v/>
      </c>
      <c r="S17" s="25" t="str">
        <f aca="false">IF($C17="","",IFERROR(INDEX(設定!$B$27:$B$29,MATCH($J17,設定!$A$27:$A$29,0)),0))</f>
        <v/>
      </c>
      <c r="T17" s="25" t="str">
        <f aca="false">IF($C17="","",IFERROR(INDEX(設定!$B$32:$B$35,MATCH($K17,設定!$A$32:$A$35,0)),0))</f>
        <v/>
      </c>
      <c r="U17" s="25" t="str">
        <f aca="false">IF($C17="","",IF(N($L17)&lt;1,0,MIN(100,LOG10($L17+1)/LOG10(設定!$B$44+1)*100)))</f>
        <v/>
      </c>
      <c r="V17" s="25" t="str">
        <f aca="false">IF($C17="","",IF(設定!$B$11=0,0,(O17*設定!$B$4+P17*設定!$B$5+Q17*設定!$B$6+R17*設定!$B$7+S17*設定!$B$8+T17*設定!$B$9+U17*設定!$B$10)/設定!$B$11))</f>
        <v/>
      </c>
      <c r="W17" s="25" t="str">
        <f aca="false">IF($C17="","",IFERROR(INDEX(設定!$B$38:$B$40,MATCH($M17,設定!$A$38:$A$40,0)),1))</f>
        <v/>
      </c>
      <c r="X17" s="26" t="str">
        <f aca="false">IF($C17="","",ROUND(V17*W17,1))</f>
        <v/>
      </c>
      <c r="Y17" s="27" t="str">
        <f aca="false">IF($C17="","",INDEX(設定!$B$49:$B$53,MATCH(X17,設定!$A$49:$A$53,1)))</f>
        <v/>
      </c>
    </row>
    <row r="18" customFormat="false" ht="15" hidden="false" customHeight="false" outlineLevel="0" collapsed="false">
      <c r="A18" s="23" t="n">
        <v>14</v>
      </c>
      <c r="B18" s="24"/>
      <c r="C18" s="9"/>
      <c r="D18" s="9"/>
      <c r="E18" s="15"/>
      <c r="F18" s="9"/>
      <c r="G18" s="17"/>
      <c r="H18" s="9"/>
      <c r="I18" s="9"/>
      <c r="J18" s="9"/>
      <c r="K18" s="9"/>
      <c r="L18" s="17"/>
      <c r="M18" s="9"/>
      <c r="N18" s="9"/>
      <c r="O18" s="25" t="str">
        <f aca="false">IF($C18="","",IFERROR(INDEX(設定!$B$14:$B$18,MATCH($E18,設定!$A$14:$A$18,0)),0))</f>
        <v/>
      </c>
      <c r="P18" s="25" t="str">
        <f aca="false">IF($C18="","",IF(N($G18)&lt;=1,0,MIN(100,LOG10($G18)/LOG10(設定!$B$43)*100)))</f>
        <v/>
      </c>
      <c r="Q18" s="25" t="str">
        <f aca="false">IF($C18="","",IFERROR(INDEX(設定!$B$21:$B$24,MATCH($H18,設定!$A$21:$A$24,0)),0))</f>
        <v/>
      </c>
      <c r="R18" s="25" t="str">
        <f aca="false">IF($C18="","",IF(設定!$B$45&lt;=0,0,MIN(100,N($I18)/設定!$B$45*100)))</f>
        <v/>
      </c>
      <c r="S18" s="25" t="str">
        <f aca="false">IF($C18="","",IFERROR(INDEX(設定!$B$27:$B$29,MATCH($J18,設定!$A$27:$A$29,0)),0))</f>
        <v/>
      </c>
      <c r="T18" s="25" t="str">
        <f aca="false">IF($C18="","",IFERROR(INDEX(設定!$B$32:$B$35,MATCH($K18,設定!$A$32:$A$35,0)),0))</f>
        <v/>
      </c>
      <c r="U18" s="25" t="str">
        <f aca="false">IF($C18="","",IF(N($L18)&lt;1,0,MIN(100,LOG10($L18+1)/LOG10(設定!$B$44+1)*100)))</f>
        <v/>
      </c>
      <c r="V18" s="25" t="str">
        <f aca="false">IF($C18="","",IF(設定!$B$11=0,0,(O18*設定!$B$4+P18*設定!$B$5+Q18*設定!$B$6+R18*設定!$B$7+S18*設定!$B$8+T18*設定!$B$9+U18*設定!$B$10)/設定!$B$11))</f>
        <v/>
      </c>
      <c r="W18" s="25" t="str">
        <f aca="false">IF($C18="","",IFERROR(INDEX(設定!$B$38:$B$40,MATCH($M18,設定!$A$38:$A$40,0)),1))</f>
        <v/>
      </c>
      <c r="X18" s="26" t="str">
        <f aca="false">IF($C18="","",ROUND(V18*W18,1))</f>
        <v/>
      </c>
      <c r="Y18" s="27" t="str">
        <f aca="false">IF($C18="","",INDEX(設定!$B$49:$B$53,MATCH(X18,設定!$A$49:$A$53,1)))</f>
        <v/>
      </c>
    </row>
    <row r="19" customFormat="false" ht="15" hidden="false" customHeight="false" outlineLevel="0" collapsed="false">
      <c r="A19" s="23" t="n">
        <v>15</v>
      </c>
      <c r="B19" s="24"/>
      <c r="C19" s="9"/>
      <c r="D19" s="9"/>
      <c r="E19" s="15"/>
      <c r="F19" s="9"/>
      <c r="G19" s="17"/>
      <c r="H19" s="9"/>
      <c r="I19" s="9"/>
      <c r="J19" s="9"/>
      <c r="K19" s="9"/>
      <c r="L19" s="17"/>
      <c r="M19" s="9"/>
      <c r="N19" s="9"/>
      <c r="O19" s="25" t="str">
        <f aca="false">IF($C19="","",IFERROR(INDEX(設定!$B$14:$B$18,MATCH($E19,設定!$A$14:$A$18,0)),0))</f>
        <v/>
      </c>
      <c r="P19" s="25" t="str">
        <f aca="false">IF($C19="","",IF(N($G19)&lt;=1,0,MIN(100,LOG10($G19)/LOG10(設定!$B$43)*100)))</f>
        <v/>
      </c>
      <c r="Q19" s="25" t="str">
        <f aca="false">IF($C19="","",IFERROR(INDEX(設定!$B$21:$B$24,MATCH($H19,設定!$A$21:$A$24,0)),0))</f>
        <v/>
      </c>
      <c r="R19" s="25" t="str">
        <f aca="false">IF($C19="","",IF(設定!$B$45&lt;=0,0,MIN(100,N($I19)/設定!$B$45*100)))</f>
        <v/>
      </c>
      <c r="S19" s="25" t="str">
        <f aca="false">IF($C19="","",IFERROR(INDEX(設定!$B$27:$B$29,MATCH($J19,設定!$A$27:$A$29,0)),0))</f>
        <v/>
      </c>
      <c r="T19" s="25" t="str">
        <f aca="false">IF($C19="","",IFERROR(INDEX(設定!$B$32:$B$35,MATCH($K19,設定!$A$32:$A$35,0)),0))</f>
        <v/>
      </c>
      <c r="U19" s="25" t="str">
        <f aca="false">IF($C19="","",IF(N($L19)&lt;1,0,MIN(100,LOG10($L19+1)/LOG10(設定!$B$44+1)*100)))</f>
        <v/>
      </c>
      <c r="V19" s="25" t="str">
        <f aca="false">IF($C19="","",IF(設定!$B$11=0,0,(O19*設定!$B$4+P19*設定!$B$5+Q19*設定!$B$6+R19*設定!$B$7+S19*設定!$B$8+T19*設定!$B$9+U19*設定!$B$10)/設定!$B$11))</f>
        <v/>
      </c>
      <c r="W19" s="25" t="str">
        <f aca="false">IF($C19="","",IFERROR(INDEX(設定!$B$38:$B$40,MATCH($M19,設定!$A$38:$A$40,0)),1))</f>
        <v/>
      </c>
      <c r="X19" s="26" t="str">
        <f aca="false">IF($C19="","",ROUND(V19*W19,1))</f>
        <v/>
      </c>
      <c r="Y19" s="27" t="str">
        <f aca="false">IF($C19="","",INDEX(設定!$B$49:$B$53,MATCH(X19,設定!$A$49:$A$53,1)))</f>
        <v/>
      </c>
    </row>
    <row r="20" customFormat="false" ht="15" hidden="false" customHeight="false" outlineLevel="0" collapsed="false">
      <c r="A20" s="23" t="n">
        <v>16</v>
      </c>
      <c r="B20" s="24"/>
      <c r="C20" s="9"/>
      <c r="D20" s="9"/>
      <c r="E20" s="15"/>
      <c r="F20" s="9"/>
      <c r="G20" s="17"/>
      <c r="H20" s="9"/>
      <c r="I20" s="9"/>
      <c r="J20" s="9"/>
      <c r="K20" s="9"/>
      <c r="L20" s="17"/>
      <c r="M20" s="9"/>
      <c r="N20" s="9"/>
      <c r="O20" s="25" t="str">
        <f aca="false">IF($C20="","",IFERROR(INDEX(設定!$B$14:$B$18,MATCH($E20,設定!$A$14:$A$18,0)),0))</f>
        <v/>
      </c>
      <c r="P20" s="25" t="str">
        <f aca="false">IF($C20="","",IF(N($G20)&lt;=1,0,MIN(100,LOG10($G20)/LOG10(設定!$B$43)*100)))</f>
        <v/>
      </c>
      <c r="Q20" s="25" t="str">
        <f aca="false">IF($C20="","",IFERROR(INDEX(設定!$B$21:$B$24,MATCH($H20,設定!$A$21:$A$24,0)),0))</f>
        <v/>
      </c>
      <c r="R20" s="25" t="str">
        <f aca="false">IF($C20="","",IF(設定!$B$45&lt;=0,0,MIN(100,N($I20)/設定!$B$45*100)))</f>
        <v/>
      </c>
      <c r="S20" s="25" t="str">
        <f aca="false">IF($C20="","",IFERROR(INDEX(設定!$B$27:$B$29,MATCH($J20,設定!$A$27:$A$29,0)),0))</f>
        <v/>
      </c>
      <c r="T20" s="25" t="str">
        <f aca="false">IF($C20="","",IFERROR(INDEX(設定!$B$32:$B$35,MATCH($K20,設定!$A$32:$A$35,0)),0))</f>
        <v/>
      </c>
      <c r="U20" s="25" t="str">
        <f aca="false">IF($C20="","",IF(N($L20)&lt;1,0,MIN(100,LOG10($L20+1)/LOG10(設定!$B$44+1)*100)))</f>
        <v/>
      </c>
      <c r="V20" s="25" t="str">
        <f aca="false">IF($C20="","",IF(設定!$B$11=0,0,(O20*設定!$B$4+P20*設定!$B$5+Q20*設定!$B$6+R20*設定!$B$7+S20*設定!$B$8+T20*設定!$B$9+U20*設定!$B$10)/設定!$B$11))</f>
        <v/>
      </c>
      <c r="W20" s="25" t="str">
        <f aca="false">IF($C20="","",IFERROR(INDEX(設定!$B$38:$B$40,MATCH($M20,設定!$A$38:$A$40,0)),1))</f>
        <v/>
      </c>
      <c r="X20" s="26" t="str">
        <f aca="false">IF($C20="","",ROUND(V20*W20,1))</f>
        <v/>
      </c>
      <c r="Y20" s="27" t="str">
        <f aca="false">IF($C20="","",INDEX(設定!$B$49:$B$53,MATCH(X20,設定!$A$49:$A$53,1)))</f>
        <v/>
      </c>
    </row>
    <row r="21" customFormat="false" ht="15" hidden="false" customHeight="false" outlineLevel="0" collapsed="false">
      <c r="A21" s="23" t="n">
        <v>17</v>
      </c>
      <c r="B21" s="24"/>
      <c r="C21" s="9"/>
      <c r="D21" s="9"/>
      <c r="E21" s="15"/>
      <c r="F21" s="9"/>
      <c r="G21" s="17"/>
      <c r="H21" s="9"/>
      <c r="I21" s="9"/>
      <c r="J21" s="9"/>
      <c r="K21" s="9"/>
      <c r="L21" s="17"/>
      <c r="M21" s="9"/>
      <c r="N21" s="9"/>
      <c r="O21" s="25" t="str">
        <f aca="false">IF($C21="","",IFERROR(INDEX(設定!$B$14:$B$18,MATCH($E21,設定!$A$14:$A$18,0)),0))</f>
        <v/>
      </c>
      <c r="P21" s="25" t="str">
        <f aca="false">IF($C21="","",IF(N($G21)&lt;=1,0,MIN(100,LOG10($G21)/LOG10(設定!$B$43)*100)))</f>
        <v/>
      </c>
      <c r="Q21" s="25" t="str">
        <f aca="false">IF($C21="","",IFERROR(INDEX(設定!$B$21:$B$24,MATCH($H21,設定!$A$21:$A$24,0)),0))</f>
        <v/>
      </c>
      <c r="R21" s="25" t="str">
        <f aca="false">IF($C21="","",IF(設定!$B$45&lt;=0,0,MIN(100,N($I21)/設定!$B$45*100)))</f>
        <v/>
      </c>
      <c r="S21" s="25" t="str">
        <f aca="false">IF($C21="","",IFERROR(INDEX(設定!$B$27:$B$29,MATCH($J21,設定!$A$27:$A$29,0)),0))</f>
        <v/>
      </c>
      <c r="T21" s="25" t="str">
        <f aca="false">IF($C21="","",IFERROR(INDEX(設定!$B$32:$B$35,MATCH($K21,設定!$A$32:$A$35,0)),0))</f>
        <v/>
      </c>
      <c r="U21" s="25" t="str">
        <f aca="false">IF($C21="","",IF(N($L21)&lt;1,0,MIN(100,LOG10($L21+1)/LOG10(設定!$B$44+1)*100)))</f>
        <v/>
      </c>
      <c r="V21" s="25" t="str">
        <f aca="false">IF($C21="","",IF(設定!$B$11=0,0,(O21*設定!$B$4+P21*設定!$B$5+Q21*設定!$B$6+R21*設定!$B$7+S21*設定!$B$8+T21*設定!$B$9+U21*設定!$B$10)/設定!$B$11))</f>
        <v/>
      </c>
      <c r="W21" s="25" t="str">
        <f aca="false">IF($C21="","",IFERROR(INDEX(設定!$B$38:$B$40,MATCH($M21,設定!$A$38:$A$40,0)),1))</f>
        <v/>
      </c>
      <c r="X21" s="26" t="str">
        <f aca="false">IF($C21="","",ROUND(V21*W21,1))</f>
        <v/>
      </c>
      <c r="Y21" s="27" t="str">
        <f aca="false">IF($C21="","",INDEX(設定!$B$49:$B$53,MATCH(X21,設定!$A$49:$A$53,1)))</f>
        <v/>
      </c>
    </row>
    <row r="22" customFormat="false" ht="15" hidden="false" customHeight="false" outlineLevel="0" collapsed="false">
      <c r="A22" s="23" t="n">
        <v>18</v>
      </c>
      <c r="B22" s="24"/>
      <c r="C22" s="9"/>
      <c r="D22" s="9"/>
      <c r="E22" s="15"/>
      <c r="F22" s="9"/>
      <c r="G22" s="17"/>
      <c r="H22" s="9"/>
      <c r="I22" s="9"/>
      <c r="J22" s="9"/>
      <c r="K22" s="9"/>
      <c r="L22" s="17"/>
      <c r="M22" s="9"/>
      <c r="N22" s="9"/>
      <c r="O22" s="25" t="str">
        <f aca="false">IF($C22="","",IFERROR(INDEX(設定!$B$14:$B$18,MATCH($E22,設定!$A$14:$A$18,0)),0))</f>
        <v/>
      </c>
      <c r="P22" s="25" t="str">
        <f aca="false">IF($C22="","",IF(N($G22)&lt;=1,0,MIN(100,LOG10($G22)/LOG10(設定!$B$43)*100)))</f>
        <v/>
      </c>
      <c r="Q22" s="25" t="str">
        <f aca="false">IF($C22="","",IFERROR(INDEX(設定!$B$21:$B$24,MATCH($H22,設定!$A$21:$A$24,0)),0))</f>
        <v/>
      </c>
      <c r="R22" s="25" t="str">
        <f aca="false">IF($C22="","",IF(設定!$B$45&lt;=0,0,MIN(100,N($I22)/設定!$B$45*100)))</f>
        <v/>
      </c>
      <c r="S22" s="25" t="str">
        <f aca="false">IF($C22="","",IFERROR(INDEX(設定!$B$27:$B$29,MATCH($J22,設定!$A$27:$A$29,0)),0))</f>
        <v/>
      </c>
      <c r="T22" s="25" t="str">
        <f aca="false">IF($C22="","",IFERROR(INDEX(設定!$B$32:$B$35,MATCH($K22,設定!$A$32:$A$35,0)),0))</f>
        <v/>
      </c>
      <c r="U22" s="25" t="str">
        <f aca="false">IF($C22="","",IF(N($L22)&lt;1,0,MIN(100,LOG10($L22+1)/LOG10(設定!$B$44+1)*100)))</f>
        <v/>
      </c>
      <c r="V22" s="25" t="str">
        <f aca="false">IF($C22="","",IF(設定!$B$11=0,0,(O22*設定!$B$4+P22*設定!$B$5+Q22*設定!$B$6+R22*設定!$B$7+S22*設定!$B$8+T22*設定!$B$9+U22*設定!$B$10)/設定!$B$11))</f>
        <v/>
      </c>
      <c r="W22" s="25" t="str">
        <f aca="false">IF($C22="","",IFERROR(INDEX(設定!$B$38:$B$40,MATCH($M22,設定!$A$38:$A$40,0)),1))</f>
        <v/>
      </c>
      <c r="X22" s="26" t="str">
        <f aca="false">IF($C22="","",ROUND(V22*W22,1))</f>
        <v/>
      </c>
      <c r="Y22" s="27" t="str">
        <f aca="false">IF($C22="","",INDEX(設定!$B$49:$B$53,MATCH(X22,設定!$A$49:$A$53,1)))</f>
        <v/>
      </c>
    </row>
    <row r="23" customFormat="false" ht="15" hidden="false" customHeight="false" outlineLevel="0" collapsed="false">
      <c r="A23" s="23" t="n">
        <v>19</v>
      </c>
      <c r="B23" s="24"/>
      <c r="C23" s="9"/>
      <c r="D23" s="9"/>
      <c r="E23" s="15"/>
      <c r="F23" s="9"/>
      <c r="G23" s="17"/>
      <c r="H23" s="9"/>
      <c r="I23" s="9"/>
      <c r="J23" s="9"/>
      <c r="K23" s="9"/>
      <c r="L23" s="17"/>
      <c r="M23" s="9"/>
      <c r="N23" s="9"/>
      <c r="O23" s="25" t="str">
        <f aca="false">IF($C23="","",IFERROR(INDEX(設定!$B$14:$B$18,MATCH($E23,設定!$A$14:$A$18,0)),0))</f>
        <v/>
      </c>
      <c r="P23" s="25" t="str">
        <f aca="false">IF($C23="","",IF(N($G23)&lt;=1,0,MIN(100,LOG10($G23)/LOG10(設定!$B$43)*100)))</f>
        <v/>
      </c>
      <c r="Q23" s="25" t="str">
        <f aca="false">IF($C23="","",IFERROR(INDEX(設定!$B$21:$B$24,MATCH($H23,設定!$A$21:$A$24,0)),0))</f>
        <v/>
      </c>
      <c r="R23" s="25" t="str">
        <f aca="false">IF($C23="","",IF(設定!$B$45&lt;=0,0,MIN(100,N($I23)/設定!$B$45*100)))</f>
        <v/>
      </c>
      <c r="S23" s="25" t="str">
        <f aca="false">IF($C23="","",IFERROR(INDEX(設定!$B$27:$B$29,MATCH($J23,設定!$A$27:$A$29,0)),0))</f>
        <v/>
      </c>
      <c r="T23" s="25" t="str">
        <f aca="false">IF($C23="","",IFERROR(INDEX(設定!$B$32:$B$35,MATCH($K23,設定!$A$32:$A$35,0)),0))</f>
        <v/>
      </c>
      <c r="U23" s="25" t="str">
        <f aca="false">IF($C23="","",IF(N($L23)&lt;1,0,MIN(100,LOG10($L23+1)/LOG10(設定!$B$44+1)*100)))</f>
        <v/>
      </c>
      <c r="V23" s="25" t="str">
        <f aca="false">IF($C23="","",IF(設定!$B$11=0,0,(O23*設定!$B$4+P23*設定!$B$5+Q23*設定!$B$6+R23*設定!$B$7+S23*設定!$B$8+T23*設定!$B$9+U23*設定!$B$10)/設定!$B$11))</f>
        <v/>
      </c>
      <c r="W23" s="25" t="str">
        <f aca="false">IF($C23="","",IFERROR(INDEX(設定!$B$38:$B$40,MATCH($M23,設定!$A$38:$A$40,0)),1))</f>
        <v/>
      </c>
      <c r="X23" s="26" t="str">
        <f aca="false">IF($C23="","",ROUND(V23*W23,1))</f>
        <v/>
      </c>
      <c r="Y23" s="27" t="str">
        <f aca="false">IF($C23="","",INDEX(設定!$B$49:$B$53,MATCH(X23,設定!$A$49:$A$53,1)))</f>
        <v/>
      </c>
    </row>
    <row r="24" customFormat="false" ht="15" hidden="false" customHeight="false" outlineLevel="0" collapsed="false">
      <c r="A24" s="23" t="n">
        <v>20</v>
      </c>
      <c r="B24" s="24"/>
      <c r="C24" s="9"/>
      <c r="D24" s="9"/>
      <c r="E24" s="15"/>
      <c r="F24" s="9"/>
      <c r="G24" s="17"/>
      <c r="H24" s="9"/>
      <c r="I24" s="9"/>
      <c r="J24" s="9"/>
      <c r="K24" s="9"/>
      <c r="L24" s="17"/>
      <c r="M24" s="9"/>
      <c r="N24" s="9"/>
      <c r="O24" s="25" t="str">
        <f aca="false">IF($C24="","",IFERROR(INDEX(設定!$B$14:$B$18,MATCH($E24,設定!$A$14:$A$18,0)),0))</f>
        <v/>
      </c>
      <c r="P24" s="25" t="str">
        <f aca="false">IF($C24="","",IF(N($G24)&lt;=1,0,MIN(100,LOG10($G24)/LOG10(設定!$B$43)*100)))</f>
        <v/>
      </c>
      <c r="Q24" s="25" t="str">
        <f aca="false">IF($C24="","",IFERROR(INDEX(設定!$B$21:$B$24,MATCH($H24,設定!$A$21:$A$24,0)),0))</f>
        <v/>
      </c>
      <c r="R24" s="25" t="str">
        <f aca="false">IF($C24="","",IF(設定!$B$45&lt;=0,0,MIN(100,N($I24)/設定!$B$45*100)))</f>
        <v/>
      </c>
      <c r="S24" s="25" t="str">
        <f aca="false">IF($C24="","",IFERROR(INDEX(設定!$B$27:$B$29,MATCH($J24,設定!$A$27:$A$29,0)),0))</f>
        <v/>
      </c>
      <c r="T24" s="25" t="str">
        <f aca="false">IF($C24="","",IFERROR(INDEX(設定!$B$32:$B$35,MATCH($K24,設定!$A$32:$A$35,0)),0))</f>
        <v/>
      </c>
      <c r="U24" s="25" t="str">
        <f aca="false">IF($C24="","",IF(N($L24)&lt;1,0,MIN(100,LOG10($L24+1)/LOG10(設定!$B$44+1)*100)))</f>
        <v/>
      </c>
      <c r="V24" s="25" t="str">
        <f aca="false">IF($C24="","",IF(設定!$B$11=0,0,(O24*設定!$B$4+P24*設定!$B$5+Q24*設定!$B$6+R24*設定!$B$7+S24*設定!$B$8+T24*設定!$B$9+U24*設定!$B$10)/設定!$B$11))</f>
        <v/>
      </c>
      <c r="W24" s="25" t="str">
        <f aca="false">IF($C24="","",IFERROR(INDEX(設定!$B$38:$B$40,MATCH($M24,設定!$A$38:$A$40,0)),1))</f>
        <v/>
      </c>
      <c r="X24" s="26" t="str">
        <f aca="false">IF($C24="","",ROUND(V24*W24,1))</f>
        <v/>
      </c>
      <c r="Y24" s="27" t="str">
        <f aca="false">IF($C24="","",INDEX(設定!$B$49:$B$53,MATCH(X24,設定!$A$49:$A$53,1)))</f>
        <v/>
      </c>
    </row>
    <row r="25" customFormat="false" ht="15" hidden="false" customHeight="false" outlineLevel="0" collapsed="false">
      <c r="A25" s="23" t="n">
        <v>21</v>
      </c>
      <c r="B25" s="24"/>
      <c r="C25" s="9"/>
      <c r="D25" s="9"/>
      <c r="E25" s="15"/>
      <c r="F25" s="9"/>
      <c r="G25" s="17"/>
      <c r="H25" s="9"/>
      <c r="I25" s="9"/>
      <c r="J25" s="9"/>
      <c r="K25" s="9"/>
      <c r="L25" s="17"/>
      <c r="M25" s="9"/>
      <c r="N25" s="9"/>
      <c r="O25" s="25" t="str">
        <f aca="false">IF($C25="","",IFERROR(INDEX(設定!$B$14:$B$18,MATCH($E25,設定!$A$14:$A$18,0)),0))</f>
        <v/>
      </c>
      <c r="P25" s="25" t="str">
        <f aca="false">IF($C25="","",IF(N($G25)&lt;=1,0,MIN(100,LOG10($G25)/LOG10(設定!$B$43)*100)))</f>
        <v/>
      </c>
      <c r="Q25" s="25" t="str">
        <f aca="false">IF($C25="","",IFERROR(INDEX(設定!$B$21:$B$24,MATCH($H25,設定!$A$21:$A$24,0)),0))</f>
        <v/>
      </c>
      <c r="R25" s="25" t="str">
        <f aca="false">IF($C25="","",IF(設定!$B$45&lt;=0,0,MIN(100,N($I25)/設定!$B$45*100)))</f>
        <v/>
      </c>
      <c r="S25" s="25" t="str">
        <f aca="false">IF($C25="","",IFERROR(INDEX(設定!$B$27:$B$29,MATCH($J25,設定!$A$27:$A$29,0)),0))</f>
        <v/>
      </c>
      <c r="T25" s="25" t="str">
        <f aca="false">IF($C25="","",IFERROR(INDEX(設定!$B$32:$B$35,MATCH($K25,設定!$A$32:$A$35,0)),0))</f>
        <v/>
      </c>
      <c r="U25" s="25" t="str">
        <f aca="false">IF($C25="","",IF(N($L25)&lt;1,0,MIN(100,LOG10($L25+1)/LOG10(設定!$B$44+1)*100)))</f>
        <v/>
      </c>
      <c r="V25" s="25" t="str">
        <f aca="false">IF($C25="","",IF(設定!$B$11=0,0,(O25*設定!$B$4+P25*設定!$B$5+Q25*設定!$B$6+R25*設定!$B$7+S25*設定!$B$8+T25*設定!$B$9+U25*設定!$B$10)/設定!$B$11))</f>
        <v/>
      </c>
      <c r="W25" s="25" t="str">
        <f aca="false">IF($C25="","",IFERROR(INDEX(設定!$B$38:$B$40,MATCH($M25,設定!$A$38:$A$40,0)),1))</f>
        <v/>
      </c>
      <c r="X25" s="26" t="str">
        <f aca="false">IF($C25="","",ROUND(V25*W25,1))</f>
        <v/>
      </c>
      <c r="Y25" s="27" t="str">
        <f aca="false">IF($C25="","",INDEX(設定!$B$49:$B$53,MATCH(X25,設定!$A$49:$A$53,1)))</f>
        <v/>
      </c>
    </row>
    <row r="26" customFormat="false" ht="15" hidden="false" customHeight="false" outlineLevel="0" collapsed="false">
      <c r="A26" s="23" t="n">
        <v>22</v>
      </c>
      <c r="B26" s="24"/>
      <c r="C26" s="9"/>
      <c r="D26" s="9"/>
      <c r="E26" s="15"/>
      <c r="F26" s="9"/>
      <c r="G26" s="17"/>
      <c r="H26" s="9"/>
      <c r="I26" s="9"/>
      <c r="J26" s="9"/>
      <c r="K26" s="9"/>
      <c r="L26" s="17"/>
      <c r="M26" s="9"/>
      <c r="N26" s="9"/>
      <c r="O26" s="25" t="str">
        <f aca="false">IF($C26="","",IFERROR(INDEX(設定!$B$14:$B$18,MATCH($E26,設定!$A$14:$A$18,0)),0))</f>
        <v/>
      </c>
      <c r="P26" s="25" t="str">
        <f aca="false">IF($C26="","",IF(N($G26)&lt;=1,0,MIN(100,LOG10($G26)/LOG10(設定!$B$43)*100)))</f>
        <v/>
      </c>
      <c r="Q26" s="25" t="str">
        <f aca="false">IF($C26="","",IFERROR(INDEX(設定!$B$21:$B$24,MATCH($H26,設定!$A$21:$A$24,0)),0))</f>
        <v/>
      </c>
      <c r="R26" s="25" t="str">
        <f aca="false">IF($C26="","",IF(設定!$B$45&lt;=0,0,MIN(100,N($I26)/設定!$B$45*100)))</f>
        <v/>
      </c>
      <c r="S26" s="25" t="str">
        <f aca="false">IF($C26="","",IFERROR(INDEX(設定!$B$27:$B$29,MATCH($J26,設定!$A$27:$A$29,0)),0))</f>
        <v/>
      </c>
      <c r="T26" s="25" t="str">
        <f aca="false">IF($C26="","",IFERROR(INDEX(設定!$B$32:$B$35,MATCH($K26,設定!$A$32:$A$35,0)),0))</f>
        <v/>
      </c>
      <c r="U26" s="25" t="str">
        <f aca="false">IF($C26="","",IF(N($L26)&lt;1,0,MIN(100,LOG10($L26+1)/LOG10(設定!$B$44+1)*100)))</f>
        <v/>
      </c>
      <c r="V26" s="25" t="str">
        <f aca="false">IF($C26="","",IF(設定!$B$11=0,0,(O26*設定!$B$4+P26*設定!$B$5+Q26*設定!$B$6+R26*設定!$B$7+S26*設定!$B$8+T26*設定!$B$9+U26*設定!$B$10)/設定!$B$11))</f>
        <v/>
      </c>
      <c r="W26" s="25" t="str">
        <f aca="false">IF($C26="","",IFERROR(INDEX(設定!$B$38:$B$40,MATCH($M26,設定!$A$38:$A$40,0)),1))</f>
        <v/>
      </c>
      <c r="X26" s="26" t="str">
        <f aca="false">IF($C26="","",ROUND(V26*W26,1))</f>
        <v/>
      </c>
      <c r="Y26" s="27" t="str">
        <f aca="false">IF($C26="","",INDEX(設定!$B$49:$B$53,MATCH(X26,設定!$A$49:$A$53,1)))</f>
        <v/>
      </c>
    </row>
    <row r="27" customFormat="false" ht="15" hidden="false" customHeight="false" outlineLevel="0" collapsed="false">
      <c r="A27" s="23" t="n">
        <v>23</v>
      </c>
      <c r="B27" s="24"/>
      <c r="C27" s="9"/>
      <c r="D27" s="9"/>
      <c r="E27" s="15"/>
      <c r="F27" s="9"/>
      <c r="G27" s="17"/>
      <c r="H27" s="9"/>
      <c r="I27" s="9"/>
      <c r="J27" s="9"/>
      <c r="K27" s="9"/>
      <c r="L27" s="17"/>
      <c r="M27" s="9"/>
      <c r="N27" s="9"/>
      <c r="O27" s="25" t="str">
        <f aca="false">IF($C27="","",IFERROR(INDEX(設定!$B$14:$B$18,MATCH($E27,設定!$A$14:$A$18,0)),0))</f>
        <v/>
      </c>
      <c r="P27" s="25" t="str">
        <f aca="false">IF($C27="","",IF(N($G27)&lt;=1,0,MIN(100,LOG10($G27)/LOG10(設定!$B$43)*100)))</f>
        <v/>
      </c>
      <c r="Q27" s="25" t="str">
        <f aca="false">IF($C27="","",IFERROR(INDEX(設定!$B$21:$B$24,MATCH($H27,設定!$A$21:$A$24,0)),0))</f>
        <v/>
      </c>
      <c r="R27" s="25" t="str">
        <f aca="false">IF($C27="","",IF(設定!$B$45&lt;=0,0,MIN(100,N($I27)/設定!$B$45*100)))</f>
        <v/>
      </c>
      <c r="S27" s="25" t="str">
        <f aca="false">IF($C27="","",IFERROR(INDEX(設定!$B$27:$B$29,MATCH($J27,設定!$A$27:$A$29,0)),0))</f>
        <v/>
      </c>
      <c r="T27" s="25" t="str">
        <f aca="false">IF($C27="","",IFERROR(INDEX(設定!$B$32:$B$35,MATCH($K27,設定!$A$32:$A$35,0)),0))</f>
        <v/>
      </c>
      <c r="U27" s="25" t="str">
        <f aca="false">IF($C27="","",IF(N($L27)&lt;1,0,MIN(100,LOG10($L27+1)/LOG10(設定!$B$44+1)*100)))</f>
        <v/>
      </c>
      <c r="V27" s="25" t="str">
        <f aca="false">IF($C27="","",IF(設定!$B$11=0,0,(O27*設定!$B$4+P27*設定!$B$5+Q27*設定!$B$6+R27*設定!$B$7+S27*設定!$B$8+T27*設定!$B$9+U27*設定!$B$10)/設定!$B$11))</f>
        <v/>
      </c>
      <c r="W27" s="25" t="str">
        <f aca="false">IF($C27="","",IFERROR(INDEX(設定!$B$38:$B$40,MATCH($M27,設定!$A$38:$A$40,0)),1))</f>
        <v/>
      </c>
      <c r="X27" s="26" t="str">
        <f aca="false">IF($C27="","",ROUND(V27*W27,1))</f>
        <v/>
      </c>
      <c r="Y27" s="27" t="str">
        <f aca="false">IF($C27="","",INDEX(設定!$B$49:$B$53,MATCH(X27,設定!$A$49:$A$53,1)))</f>
        <v/>
      </c>
    </row>
    <row r="28" customFormat="false" ht="15" hidden="false" customHeight="false" outlineLevel="0" collapsed="false">
      <c r="A28" s="23" t="n">
        <v>24</v>
      </c>
      <c r="B28" s="24"/>
      <c r="C28" s="9"/>
      <c r="D28" s="9"/>
      <c r="E28" s="15"/>
      <c r="F28" s="9"/>
      <c r="G28" s="17"/>
      <c r="H28" s="9"/>
      <c r="I28" s="9"/>
      <c r="J28" s="9"/>
      <c r="K28" s="9"/>
      <c r="L28" s="17"/>
      <c r="M28" s="9"/>
      <c r="N28" s="9"/>
      <c r="O28" s="25" t="str">
        <f aca="false">IF($C28="","",IFERROR(INDEX(設定!$B$14:$B$18,MATCH($E28,設定!$A$14:$A$18,0)),0))</f>
        <v/>
      </c>
      <c r="P28" s="25" t="str">
        <f aca="false">IF($C28="","",IF(N($G28)&lt;=1,0,MIN(100,LOG10($G28)/LOG10(設定!$B$43)*100)))</f>
        <v/>
      </c>
      <c r="Q28" s="25" t="str">
        <f aca="false">IF($C28="","",IFERROR(INDEX(設定!$B$21:$B$24,MATCH($H28,設定!$A$21:$A$24,0)),0))</f>
        <v/>
      </c>
      <c r="R28" s="25" t="str">
        <f aca="false">IF($C28="","",IF(設定!$B$45&lt;=0,0,MIN(100,N($I28)/設定!$B$45*100)))</f>
        <v/>
      </c>
      <c r="S28" s="25" t="str">
        <f aca="false">IF($C28="","",IFERROR(INDEX(設定!$B$27:$B$29,MATCH($J28,設定!$A$27:$A$29,0)),0))</f>
        <v/>
      </c>
      <c r="T28" s="25" t="str">
        <f aca="false">IF($C28="","",IFERROR(INDEX(設定!$B$32:$B$35,MATCH($K28,設定!$A$32:$A$35,0)),0))</f>
        <v/>
      </c>
      <c r="U28" s="25" t="str">
        <f aca="false">IF($C28="","",IF(N($L28)&lt;1,0,MIN(100,LOG10($L28+1)/LOG10(設定!$B$44+1)*100)))</f>
        <v/>
      </c>
      <c r="V28" s="25" t="str">
        <f aca="false">IF($C28="","",IF(設定!$B$11=0,0,(O28*設定!$B$4+P28*設定!$B$5+Q28*設定!$B$6+R28*設定!$B$7+S28*設定!$B$8+T28*設定!$B$9+U28*設定!$B$10)/設定!$B$11))</f>
        <v/>
      </c>
      <c r="W28" s="25" t="str">
        <f aca="false">IF($C28="","",IFERROR(INDEX(設定!$B$38:$B$40,MATCH($M28,設定!$A$38:$A$40,0)),1))</f>
        <v/>
      </c>
      <c r="X28" s="26" t="str">
        <f aca="false">IF($C28="","",ROUND(V28*W28,1))</f>
        <v/>
      </c>
      <c r="Y28" s="27" t="str">
        <f aca="false">IF($C28="","",INDEX(設定!$B$49:$B$53,MATCH(X28,設定!$A$49:$A$53,1)))</f>
        <v/>
      </c>
    </row>
    <row r="29" customFormat="false" ht="15" hidden="false" customHeight="false" outlineLevel="0" collapsed="false">
      <c r="A29" s="23" t="n">
        <v>25</v>
      </c>
      <c r="B29" s="24"/>
      <c r="C29" s="9"/>
      <c r="D29" s="9"/>
      <c r="E29" s="15"/>
      <c r="F29" s="9"/>
      <c r="G29" s="17"/>
      <c r="H29" s="9"/>
      <c r="I29" s="9"/>
      <c r="J29" s="9"/>
      <c r="K29" s="9"/>
      <c r="L29" s="17"/>
      <c r="M29" s="9"/>
      <c r="N29" s="9"/>
      <c r="O29" s="25" t="str">
        <f aca="false">IF($C29="","",IFERROR(INDEX(設定!$B$14:$B$18,MATCH($E29,設定!$A$14:$A$18,0)),0))</f>
        <v/>
      </c>
      <c r="P29" s="25" t="str">
        <f aca="false">IF($C29="","",IF(N($G29)&lt;=1,0,MIN(100,LOG10($G29)/LOG10(設定!$B$43)*100)))</f>
        <v/>
      </c>
      <c r="Q29" s="25" t="str">
        <f aca="false">IF($C29="","",IFERROR(INDEX(設定!$B$21:$B$24,MATCH($H29,設定!$A$21:$A$24,0)),0))</f>
        <v/>
      </c>
      <c r="R29" s="25" t="str">
        <f aca="false">IF($C29="","",IF(設定!$B$45&lt;=0,0,MIN(100,N($I29)/設定!$B$45*100)))</f>
        <v/>
      </c>
      <c r="S29" s="25" t="str">
        <f aca="false">IF($C29="","",IFERROR(INDEX(設定!$B$27:$B$29,MATCH($J29,設定!$A$27:$A$29,0)),0))</f>
        <v/>
      </c>
      <c r="T29" s="25" t="str">
        <f aca="false">IF($C29="","",IFERROR(INDEX(設定!$B$32:$B$35,MATCH($K29,設定!$A$32:$A$35,0)),0))</f>
        <v/>
      </c>
      <c r="U29" s="25" t="str">
        <f aca="false">IF($C29="","",IF(N($L29)&lt;1,0,MIN(100,LOG10($L29+1)/LOG10(設定!$B$44+1)*100)))</f>
        <v/>
      </c>
      <c r="V29" s="25" t="str">
        <f aca="false">IF($C29="","",IF(設定!$B$11=0,0,(O29*設定!$B$4+P29*設定!$B$5+Q29*設定!$B$6+R29*設定!$B$7+S29*設定!$B$8+T29*設定!$B$9+U29*設定!$B$10)/設定!$B$11))</f>
        <v/>
      </c>
      <c r="W29" s="25" t="str">
        <f aca="false">IF($C29="","",IFERROR(INDEX(設定!$B$38:$B$40,MATCH($M29,設定!$A$38:$A$40,0)),1))</f>
        <v/>
      </c>
      <c r="X29" s="26" t="str">
        <f aca="false">IF($C29="","",ROUND(V29*W29,1))</f>
        <v/>
      </c>
      <c r="Y29" s="27" t="str">
        <f aca="false">IF($C29="","",INDEX(設定!$B$49:$B$53,MATCH(X29,設定!$A$49:$A$53,1)))</f>
        <v/>
      </c>
    </row>
    <row r="30" customFormat="false" ht="15" hidden="false" customHeight="false" outlineLevel="0" collapsed="false">
      <c r="A30" s="23" t="n">
        <v>26</v>
      </c>
      <c r="B30" s="24"/>
      <c r="C30" s="9"/>
      <c r="D30" s="9"/>
      <c r="E30" s="15"/>
      <c r="F30" s="9"/>
      <c r="G30" s="17"/>
      <c r="H30" s="9"/>
      <c r="I30" s="9"/>
      <c r="J30" s="9"/>
      <c r="K30" s="9"/>
      <c r="L30" s="17"/>
      <c r="M30" s="9"/>
      <c r="N30" s="9"/>
      <c r="O30" s="25" t="str">
        <f aca="false">IF($C30="","",IFERROR(INDEX(設定!$B$14:$B$18,MATCH($E30,設定!$A$14:$A$18,0)),0))</f>
        <v/>
      </c>
      <c r="P30" s="25" t="str">
        <f aca="false">IF($C30="","",IF(N($G30)&lt;=1,0,MIN(100,LOG10($G30)/LOG10(設定!$B$43)*100)))</f>
        <v/>
      </c>
      <c r="Q30" s="25" t="str">
        <f aca="false">IF($C30="","",IFERROR(INDEX(設定!$B$21:$B$24,MATCH($H30,設定!$A$21:$A$24,0)),0))</f>
        <v/>
      </c>
      <c r="R30" s="25" t="str">
        <f aca="false">IF($C30="","",IF(設定!$B$45&lt;=0,0,MIN(100,N($I30)/設定!$B$45*100)))</f>
        <v/>
      </c>
      <c r="S30" s="25" t="str">
        <f aca="false">IF($C30="","",IFERROR(INDEX(設定!$B$27:$B$29,MATCH($J30,設定!$A$27:$A$29,0)),0))</f>
        <v/>
      </c>
      <c r="T30" s="25" t="str">
        <f aca="false">IF($C30="","",IFERROR(INDEX(設定!$B$32:$B$35,MATCH($K30,設定!$A$32:$A$35,0)),0))</f>
        <v/>
      </c>
      <c r="U30" s="25" t="str">
        <f aca="false">IF($C30="","",IF(N($L30)&lt;1,0,MIN(100,LOG10($L30+1)/LOG10(設定!$B$44+1)*100)))</f>
        <v/>
      </c>
      <c r="V30" s="25" t="str">
        <f aca="false">IF($C30="","",IF(設定!$B$11=0,0,(O30*設定!$B$4+P30*設定!$B$5+Q30*設定!$B$6+R30*設定!$B$7+S30*設定!$B$8+T30*設定!$B$9+U30*設定!$B$10)/設定!$B$11))</f>
        <v/>
      </c>
      <c r="W30" s="25" t="str">
        <f aca="false">IF($C30="","",IFERROR(INDEX(設定!$B$38:$B$40,MATCH($M30,設定!$A$38:$A$40,0)),1))</f>
        <v/>
      </c>
      <c r="X30" s="26" t="str">
        <f aca="false">IF($C30="","",ROUND(V30*W30,1))</f>
        <v/>
      </c>
      <c r="Y30" s="27" t="str">
        <f aca="false">IF($C30="","",INDEX(設定!$B$49:$B$53,MATCH(X30,設定!$A$49:$A$53,1)))</f>
        <v/>
      </c>
    </row>
    <row r="31" customFormat="false" ht="15" hidden="false" customHeight="false" outlineLevel="0" collapsed="false">
      <c r="A31" s="23" t="n">
        <v>27</v>
      </c>
      <c r="B31" s="24"/>
      <c r="C31" s="9"/>
      <c r="D31" s="9"/>
      <c r="E31" s="15"/>
      <c r="F31" s="9"/>
      <c r="G31" s="17"/>
      <c r="H31" s="9"/>
      <c r="I31" s="9"/>
      <c r="J31" s="9"/>
      <c r="K31" s="9"/>
      <c r="L31" s="17"/>
      <c r="M31" s="9"/>
      <c r="N31" s="9"/>
      <c r="O31" s="25" t="str">
        <f aca="false">IF($C31="","",IFERROR(INDEX(設定!$B$14:$B$18,MATCH($E31,設定!$A$14:$A$18,0)),0))</f>
        <v/>
      </c>
      <c r="P31" s="25" t="str">
        <f aca="false">IF($C31="","",IF(N($G31)&lt;=1,0,MIN(100,LOG10($G31)/LOG10(設定!$B$43)*100)))</f>
        <v/>
      </c>
      <c r="Q31" s="25" t="str">
        <f aca="false">IF($C31="","",IFERROR(INDEX(設定!$B$21:$B$24,MATCH($H31,設定!$A$21:$A$24,0)),0))</f>
        <v/>
      </c>
      <c r="R31" s="25" t="str">
        <f aca="false">IF($C31="","",IF(設定!$B$45&lt;=0,0,MIN(100,N($I31)/設定!$B$45*100)))</f>
        <v/>
      </c>
      <c r="S31" s="25" t="str">
        <f aca="false">IF($C31="","",IFERROR(INDEX(設定!$B$27:$B$29,MATCH($J31,設定!$A$27:$A$29,0)),0))</f>
        <v/>
      </c>
      <c r="T31" s="25" t="str">
        <f aca="false">IF($C31="","",IFERROR(INDEX(設定!$B$32:$B$35,MATCH($K31,設定!$A$32:$A$35,0)),0))</f>
        <v/>
      </c>
      <c r="U31" s="25" t="str">
        <f aca="false">IF($C31="","",IF(N($L31)&lt;1,0,MIN(100,LOG10($L31+1)/LOG10(設定!$B$44+1)*100)))</f>
        <v/>
      </c>
      <c r="V31" s="25" t="str">
        <f aca="false">IF($C31="","",IF(設定!$B$11=0,0,(O31*設定!$B$4+P31*設定!$B$5+Q31*設定!$B$6+R31*設定!$B$7+S31*設定!$B$8+T31*設定!$B$9+U31*設定!$B$10)/設定!$B$11))</f>
        <v/>
      </c>
      <c r="W31" s="25" t="str">
        <f aca="false">IF($C31="","",IFERROR(INDEX(設定!$B$38:$B$40,MATCH($M31,設定!$A$38:$A$40,0)),1))</f>
        <v/>
      </c>
      <c r="X31" s="26" t="str">
        <f aca="false">IF($C31="","",ROUND(V31*W31,1))</f>
        <v/>
      </c>
      <c r="Y31" s="27" t="str">
        <f aca="false">IF($C31="","",INDEX(設定!$B$49:$B$53,MATCH(X31,設定!$A$49:$A$53,1)))</f>
        <v/>
      </c>
    </row>
    <row r="32" customFormat="false" ht="15" hidden="false" customHeight="false" outlineLevel="0" collapsed="false">
      <c r="A32" s="23" t="n">
        <v>28</v>
      </c>
      <c r="B32" s="24"/>
      <c r="C32" s="9"/>
      <c r="D32" s="9"/>
      <c r="E32" s="15"/>
      <c r="F32" s="9"/>
      <c r="G32" s="17"/>
      <c r="H32" s="9"/>
      <c r="I32" s="9"/>
      <c r="J32" s="9"/>
      <c r="K32" s="9"/>
      <c r="L32" s="17"/>
      <c r="M32" s="9"/>
      <c r="N32" s="9"/>
      <c r="O32" s="25" t="str">
        <f aca="false">IF($C32="","",IFERROR(INDEX(設定!$B$14:$B$18,MATCH($E32,設定!$A$14:$A$18,0)),0))</f>
        <v/>
      </c>
      <c r="P32" s="25" t="str">
        <f aca="false">IF($C32="","",IF(N($G32)&lt;=1,0,MIN(100,LOG10($G32)/LOG10(設定!$B$43)*100)))</f>
        <v/>
      </c>
      <c r="Q32" s="25" t="str">
        <f aca="false">IF($C32="","",IFERROR(INDEX(設定!$B$21:$B$24,MATCH($H32,設定!$A$21:$A$24,0)),0))</f>
        <v/>
      </c>
      <c r="R32" s="25" t="str">
        <f aca="false">IF($C32="","",IF(設定!$B$45&lt;=0,0,MIN(100,N($I32)/設定!$B$45*100)))</f>
        <v/>
      </c>
      <c r="S32" s="25" t="str">
        <f aca="false">IF($C32="","",IFERROR(INDEX(設定!$B$27:$B$29,MATCH($J32,設定!$A$27:$A$29,0)),0))</f>
        <v/>
      </c>
      <c r="T32" s="25" t="str">
        <f aca="false">IF($C32="","",IFERROR(INDEX(設定!$B$32:$B$35,MATCH($K32,設定!$A$32:$A$35,0)),0))</f>
        <v/>
      </c>
      <c r="U32" s="25" t="str">
        <f aca="false">IF($C32="","",IF(N($L32)&lt;1,0,MIN(100,LOG10($L32+1)/LOG10(設定!$B$44+1)*100)))</f>
        <v/>
      </c>
      <c r="V32" s="25" t="str">
        <f aca="false">IF($C32="","",IF(設定!$B$11=0,0,(O32*設定!$B$4+P32*設定!$B$5+Q32*設定!$B$6+R32*設定!$B$7+S32*設定!$B$8+T32*設定!$B$9+U32*設定!$B$10)/設定!$B$11))</f>
        <v/>
      </c>
      <c r="W32" s="25" t="str">
        <f aca="false">IF($C32="","",IFERROR(INDEX(設定!$B$38:$B$40,MATCH($M32,設定!$A$38:$A$40,0)),1))</f>
        <v/>
      </c>
      <c r="X32" s="26" t="str">
        <f aca="false">IF($C32="","",ROUND(V32*W32,1))</f>
        <v/>
      </c>
      <c r="Y32" s="27" t="str">
        <f aca="false">IF($C32="","",INDEX(設定!$B$49:$B$53,MATCH(X32,設定!$A$49:$A$53,1)))</f>
        <v/>
      </c>
    </row>
    <row r="33" customFormat="false" ht="15" hidden="false" customHeight="false" outlineLevel="0" collapsed="false">
      <c r="A33" s="23" t="n">
        <v>29</v>
      </c>
      <c r="B33" s="24"/>
      <c r="C33" s="9"/>
      <c r="D33" s="9"/>
      <c r="E33" s="15"/>
      <c r="F33" s="9"/>
      <c r="G33" s="17"/>
      <c r="H33" s="9"/>
      <c r="I33" s="9"/>
      <c r="J33" s="9"/>
      <c r="K33" s="9"/>
      <c r="L33" s="17"/>
      <c r="M33" s="9"/>
      <c r="N33" s="9"/>
      <c r="O33" s="25" t="str">
        <f aca="false">IF($C33="","",IFERROR(INDEX(設定!$B$14:$B$18,MATCH($E33,設定!$A$14:$A$18,0)),0))</f>
        <v/>
      </c>
      <c r="P33" s="25" t="str">
        <f aca="false">IF($C33="","",IF(N($G33)&lt;=1,0,MIN(100,LOG10($G33)/LOG10(設定!$B$43)*100)))</f>
        <v/>
      </c>
      <c r="Q33" s="25" t="str">
        <f aca="false">IF($C33="","",IFERROR(INDEX(設定!$B$21:$B$24,MATCH($H33,設定!$A$21:$A$24,0)),0))</f>
        <v/>
      </c>
      <c r="R33" s="25" t="str">
        <f aca="false">IF($C33="","",IF(設定!$B$45&lt;=0,0,MIN(100,N($I33)/設定!$B$45*100)))</f>
        <v/>
      </c>
      <c r="S33" s="25" t="str">
        <f aca="false">IF($C33="","",IFERROR(INDEX(設定!$B$27:$B$29,MATCH($J33,設定!$A$27:$A$29,0)),0))</f>
        <v/>
      </c>
      <c r="T33" s="25" t="str">
        <f aca="false">IF($C33="","",IFERROR(INDEX(設定!$B$32:$B$35,MATCH($K33,設定!$A$32:$A$35,0)),0))</f>
        <v/>
      </c>
      <c r="U33" s="25" t="str">
        <f aca="false">IF($C33="","",IF(N($L33)&lt;1,0,MIN(100,LOG10($L33+1)/LOG10(設定!$B$44+1)*100)))</f>
        <v/>
      </c>
      <c r="V33" s="25" t="str">
        <f aca="false">IF($C33="","",IF(設定!$B$11=0,0,(O33*設定!$B$4+P33*設定!$B$5+Q33*設定!$B$6+R33*設定!$B$7+S33*設定!$B$8+T33*設定!$B$9+U33*設定!$B$10)/設定!$B$11))</f>
        <v/>
      </c>
      <c r="W33" s="25" t="str">
        <f aca="false">IF($C33="","",IFERROR(INDEX(設定!$B$38:$B$40,MATCH($M33,設定!$A$38:$A$40,0)),1))</f>
        <v/>
      </c>
      <c r="X33" s="26" t="str">
        <f aca="false">IF($C33="","",ROUND(V33*W33,1))</f>
        <v/>
      </c>
      <c r="Y33" s="27" t="str">
        <f aca="false">IF($C33="","",INDEX(設定!$B$49:$B$53,MATCH(X33,設定!$A$49:$A$53,1)))</f>
        <v/>
      </c>
    </row>
    <row r="34" customFormat="false" ht="15" hidden="false" customHeight="false" outlineLevel="0" collapsed="false">
      <c r="A34" s="23" t="n">
        <v>30</v>
      </c>
      <c r="B34" s="24"/>
      <c r="C34" s="9"/>
      <c r="D34" s="9"/>
      <c r="E34" s="15"/>
      <c r="F34" s="9"/>
      <c r="G34" s="17"/>
      <c r="H34" s="9"/>
      <c r="I34" s="9"/>
      <c r="J34" s="9"/>
      <c r="K34" s="9"/>
      <c r="L34" s="17"/>
      <c r="M34" s="9"/>
      <c r="N34" s="9"/>
      <c r="O34" s="25" t="str">
        <f aca="false">IF($C34="","",IFERROR(INDEX(設定!$B$14:$B$18,MATCH($E34,設定!$A$14:$A$18,0)),0))</f>
        <v/>
      </c>
      <c r="P34" s="25" t="str">
        <f aca="false">IF($C34="","",IF(N($G34)&lt;=1,0,MIN(100,LOG10($G34)/LOG10(設定!$B$43)*100)))</f>
        <v/>
      </c>
      <c r="Q34" s="25" t="str">
        <f aca="false">IF($C34="","",IFERROR(INDEX(設定!$B$21:$B$24,MATCH($H34,設定!$A$21:$A$24,0)),0))</f>
        <v/>
      </c>
      <c r="R34" s="25" t="str">
        <f aca="false">IF($C34="","",IF(設定!$B$45&lt;=0,0,MIN(100,N($I34)/設定!$B$45*100)))</f>
        <v/>
      </c>
      <c r="S34" s="25" t="str">
        <f aca="false">IF($C34="","",IFERROR(INDEX(設定!$B$27:$B$29,MATCH($J34,設定!$A$27:$A$29,0)),0))</f>
        <v/>
      </c>
      <c r="T34" s="25" t="str">
        <f aca="false">IF($C34="","",IFERROR(INDEX(設定!$B$32:$B$35,MATCH($K34,設定!$A$32:$A$35,0)),0))</f>
        <v/>
      </c>
      <c r="U34" s="25" t="str">
        <f aca="false">IF($C34="","",IF(N($L34)&lt;1,0,MIN(100,LOG10($L34+1)/LOG10(設定!$B$44+1)*100)))</f>
        <v/>
      </c>
      <c r="V34" s="25" t="str">
        <f aca="false">IF($C34="","",IF(設定!$B$11=0,0,(O34*設定!$B$4+P34*設定!$B$5+Q34*設定!$B$6+R34*設定!$B$7+S34*設定!$B$8+T34*設定!$B$9+U34*設定!$B$10)/設定!$B$11))</f>
        <v/>
      </c>
      <c r="W34" s="25" t="str">
        <f aca="false">IF($C34="","",IFERROR(INDEX(設定!$B$38:$B$40,MATCH($M34,設定!$A$38:$A$40,0)),1))</f>
        <v/>
      </c>
      <c r="X34" s="26" t="str">
        <f aca="false">IF($C34="","",ROUND(V34*W34,1))</f>
        <v/>
      </c>
      <c r="Y34" s="27" t="str">
        <f aca="false">IF($C34="","",INDEX(設定!$B$49:$B$53,MATCH(X34,設定!$A$49:$A$53,1)))</f>
        <v/>
      </c>
    </row>
    <row r="35" customFormat="false" ht="15" hidden="false" customHeight="false" outlineLevel="0" collapsed="false">
      <c r="A35" s="23" t="n">
        <v>31</v>
      </c>
      <c r="B35" s="24"/>
      <c r="C35" s="9"/>
      <c r="D35" s="9"/>
      <c r="E35" s="15"/>
      <c r="F35" s="9"/>
      <c r="G35" s="17"/>
      <c r="H35" s="9"/>
      <c r="I35" s="9"/>
      <c r="J35" s="9"/>
      <c r="K35" s="9"/>
      <c r="L35" s="17"/>
      <c r="M35" s="9"/>
      <c r="N35" s="9"/>
      <c r="O35" s="25" t="str">
        <f aca="false">IF($C35="","",IFERROR(INDEX(設定!$B$14:$B$18,MATCH($E35,設定!$A$14:$A$18,0)),0))</f>
        <v/>
      </c>
      <c r="P35" s="25" t="str">
        <f aca="false">IF($C35="","",IF(N($G35)&lt;=1,0,MIN(100,LOG10($G35)/LOG10(設定!$B$43)*100)))</f>
        <v/>
      </c>
      <c r="Q35" s="25" t="str">
        <f aca="false">IF($C35="","",IFERROR(INDEX(設定!$B$21:$B$24,MATCH($H35,設定!$A$21:$A$24,0)),0))</f>
        <v/>
      </c>
      <c r="R35" s="25" t="str">
        <f aca="false">IF($C35="","",IF(設定!$B$45&lt;=0,0,MIN(100,N($I35)/設定!$B$45*100)))</f>
        <v/>
      </c>
      <c r="S35" s="25" t="str">
        <f aca="false">IF($C35="","",IFERROR(INDEX(設定!$B$27:$B$29,MATCH($J35,設定!$A$27:$A$29,0)),0))</f>
        <v/>
      </c>
      <c r="T35" s="25" t="str">
        <f aca="false">IF($C35="","",IFERROR(INDEX(設定!$B$32:$B$35,MATCH($K35,設定!$A$32:$A$35,0)),0))</f>
        <v/>
      </c>
      <c r="U35" s="25" t="str">
        <f aca="false">IF($C35="","",IF(N($L35)&lt;1,0,MIN(100,LOG10($L35+1)/LOG10(設定!$B$44+1)*100)))</f>
        <v/>
      </c>
      <c r="V35" s="25" t="str">
        <f aca="false">IF($C35="","",IF(設定!$B$11=0,0,(O35*設定!$B$4+P35*設定!$B$5+Q35*設定!$B$6+R35*設定!$B$7+S35*設定!$B$8+T35*設定!$B$9+U35*設定!$B$10)/設定!$B$11))</f>
        <v/>
      </c>
      <c r="W35" s="25" t="str">
        <f aca="false">IF($C35="","",IFERROR(INDEX(設定!$B$38:$B$40,MATCH($M35,設定!$A$38:$A$40,0)),1))</f>
        <v/>
      </c>
      <c r="X35" s="26" t="str">
        <f aca="false">IF($C35="","",ROUND(V35*W35,1))</f>
        <v/>
      </c>
      <c r="Y35" s="27" t="str">
        <f aca="false">IF($C35="","",INDEX(設定!$B$49:$B$53,MATCH(X35,設定!$A$49:$A$53,1)))</f>
        <v/>
      </c>
    </row>
    <row r="36" customFormat="false" ht="15" hidden="false" customHeight="false" outlineLevel="0" collapsed="false">
      <c r="A36" s="23" t="n">
        <v>32</v>
      </c>
      <c r="B36" s="24"/>
      <c r="C36" s="9"/>
      <c r="D36" s="9"/>
      <c r="E36" s="15"/>
      <c r="F36" s="9"/>
      <c r="G36" s="17"/>
      <c r="H36" s="9"/>
      <c r="I36" s="9"/>
      <c r="J36" s="9"/>
      <c r="K36" s="9"/>
      <c r="L36" s="17"/>
      <c r="M36" s="9"/>
      <c r="N36" s="9"/>
      <c r="O36" s="25" t="str">
        <f aca="false">IF($C36="","",IFERROR(INDEX(設定!$B$14:$B$18,MATCH($E36,設定!$A$14:$A$18,0)),0))</f>
        <v/>
      </c>
      <c r="P36" s="25" t="str">
        <f aca="false">IF($C36="","",IF(N($G36)&lt;=1,0,MIN(100,LOG10($G36)/LOG10(設定!$B$43)*100)))</f>
        <v/>
      </c>
      <c r="Q36" s="25" t="str">
        <f aca="false">IF($C36="","",IFERROR(INDEX(設定!$B$21:$B$24,MATCH($H36,設定!$A$21:$A$24,0)),0))</f>
        <v/>
      </c>
      <c r="R36" s="25" t="str">
        <f aca="false">IF($C36="","",IF(設定!$B$45&lt;=0,0,MIN(100,N($I36)/設定!$B$45*100)))</f>
        <v/>
      </c>
      <c r="S36" s="25" t="str">
        <f aca="false">IF($C36="","",IFERROR(INDEX(設定!$B$27:$B$29,MATCH($J36,設定!$A$27:$A$29,0)),0))</f>
        <v/>
      </c>
      <c r="T36" s="25" t="str">
        <f aca="false">IF($C36="","",IFERROR(INDEX(設定!$B$32:$B$35,MATCH($K36,設定!$A$32:$A$35,0)),0))</f>
        <v/>
      </c>
      <c r="U36" s="25" t="str">
        <f aca="false">IF($C36="","",IF(N($L36)&lt;1,0,MIN(100,LOG10($L36+1)/LOG10(設定!$B$44+1)*100)))</f>
        <v/>
      </c>
      <c r="V36" s="25" t="str">
        <f aca="false">IF($C36="","",IF(設定!$B$11=0,0,(O36*設定!$B$4+P36*設定!$B$5+Q36*設定!$B$6+R36*設定!$B$7+S36*設定!$B$8+T36*設定!$B$9+U36*設定!$B$10)/設定!$B$11))</f>
        <v/>
      </c>
      <c r="W36" s="25" t="str">
        <f aca="false">IF($C36="","",IFERROR(INDEX(設定!$B$38:$B$40,MATCH($M36,設定!$A$38:$A$40,0)),1))</f>
        <v/>
      </c>
      <c r="X36" s="26" t="str">
        <f aca="false">IF($C36="","",ROUND(V36*W36,1))</f>
        <v/>
      </c>
      <c r="Y36" s="27" t="str">
        <f aca="false">IF($C36="","",INDEX(設定!$B$49:$B$53,MATCH(X36,設定!$A$49:$A$53,1)))</f>
        <v/>
      </c>
    </row>
    <row r="37" customFormat="false" ht="15" hidden="false" customHeight="false" outlineLevel="0" collapsed="false">
      <c r="A37" s="23" t="n">
        <v>33</v>
      </c>
      <c r="B37" s="24"/>
      <c r="C37" s="9"/>
      <c r="D37" s="9"/>
      <c r="E37" s="15"/>
      <c r="F37" s="9"/>
      <c r="G37" s="17"/>
      <c r="H37" s="9"/>
      <c r="I37" s="9"/>
      <c r="J37" s="9"/>
      <c r="K37" s="9"/>
      <c r="L37" s="17"/>
      <c r="M37" s="9"/>
      <c r="N37" s="9"/>
      <c r="O37" s="25" t="str">
        <f aca="false">IF($C37="","",IFERROR(INDEX(設定!$B$14:$B$18,MATCH($E37,設定!$A$14:$A$18,0)),0))</f>
        <v/>
      </c>
      <c r="P37" s="25" t="str">
        <f aca="false">IF($C37="","",IF(N($G37)&lt;=1,0,MIN(100,LOG10($G37)/LOG10(設定!$B$43)*100)))</f>
        <v/>
      </c>
      <c r="Q37" s="25" t="str">
        <f aca="false">IF($C37="","",IFERROR(INDEX(設定!$B$21:$B$24,MATCH($H37,設定!$A$21:$A$24,0)),0))</f>
        <v/>
      </c>
      <c r="R37" s="25" t="str">
        <f aca="false">IF($C37="","",IF(設定!$B$45&lt;=0,0,MIN(100,N($I37)/設定!$B$45*100)))</f>
        <v/>
      </c>
      <c r="S37" s="25" t="str">
        <f aca="false">IF($C37="","",IFERROR(INDEX(設定!$B$27:$B$29,MATCH($J37,設定!$A$27:$A$29,0)),0))</f>
        <v/>
      </c>
      <c r="T37" s="25" t="str">
        <f aca="false">IF($C37="","",IFERROR(INDEX(設定!$B$32:$B$35,MATCH($K37,設定!$A$32:$A$35,0)),0))</f>
        <v/>
      </c>
      <c r="U37" s="25" t="str">
        <f aca="false">IF($C37="","",IF(N($L37)&lt;1,0,MIN(100,LOG10($L37+1)/LOG10(設定!$B$44+1)*100)))</f>
        <v/>
      </c>
      <c r="V37" s="25" t="str">
        <f aca="false">IF($C37="","",IF(設定!$B$11=0,0,(O37*設定!$B$4+P37*設定!$B$5+Q37*設定!$B$6+R37*設定!$B$7+S37*設定!$B$8+T37*設定!$B$9+U37*設定!$B$10)/設定!$B$11))</f>
        <v/>
      </c>
      <c r="W37" s="25" t="str">
        <f aca="false">IF($C37="","",IFERROR(INDEX(設定!$B$38:$B$40,MATCH($M37,設定!$A$38:$A$40,0)),1))</f>
        <v/>
      </c>
      <c r="X37" s="26" t="str">
        <f aca="false">IF($C37="","",ROUND(V37*W37,1))</f>
        <v/>
      </c>
      <c r="Y37" s="27" t="str">
        <f aca="false">IF($C37="","",INDEX(設定!$B$49:$B$53,MATCH(X37,設定!$A$49:$A$53,1)))</f>
        <v/>
      </c>
    </row>
    <row r="38" customFormat="false" ht="15" hidden="false" customHeight="false" outlineLevel="0" collapsed="false">
      <c r="A38" s="23" t="n">
        <v>34</v>
      </c>
      <c r="B38" s="24"/>
      <c r="C38" s="9"/>
      <c r="D38" s="9"/>
      <c r="E38" s="15"/>
      <c r="F38" s="9"/>
      <c r="G38" s="17"/>
      <c r="H38" s="9"/>
      <c r="I38" s="9"/>
      <c r="J38" s="9"/>
      <c r="K38" s="9"/>
      <c r="L38" s="17"/>
      <c r="M38" s="9"/>
      <c r="N38" s="9"/>
      <c r="O38" s="25" t="str">
        <f aca="false">IF($C38="","",IFERROR(INDEX(設定!$B$14:$B$18,MATCH($E38,設定!$A$14:$A$18,0)),0))</f>
        <v/>
      </c>
      <c r="P38" s="25" t="str">
        <f aca="false">IF($C38="","",IF(N($G38)&lt;=1,0,MIN(100,LOG10($G38)/LOG10(設定!$B$43)*100)))</f>
        <v/>
      </c>
      <c r="Q38" s="25" t="str">
        <f aca="false">IF($C38="","",IFERROR(INDEX(設定!$B$21:$B$24,MATCH($H38,設定!$A$21:$A$24,0)),0))</f>
        <v/>
      </c>
      <c r="R38" s="25" t="str">
        <f aca="false">IF($C38="","",IF(設定!$B$45&lt;=0,0,MIN(100,N($I38)/設定!$B$45*100)))</f>
        <v/>
      </c>
      <c r="S38" s="25" t="str">
        <f aca="false">IF($C38="","",IFERROR(INDEX(設定!$B$27:$B$29,MATCH($J38,設定!$A$27:$A$29,0)),0))</f>
        <v/>
      </c>
      <c r="T38" s="25" t="str">
        <f aca="false">IF($C38="","",IFERROR(INDEX(設定!$B$32:$B$35,MATCH($K38,設定!$A$32:$A$35,0)),0))</f>
        <v/>
      </c>
      <c r="U38" s="25" t="str">
        <f aca="false">IF($C38="","",IF(N($L38)&lt;1,0,MIN(100,LOG10($L38+1)/LOG10(設定!$B$44+1)*100)))</f>
        <v/>
      </c>
      <c r="V38" s="25" t="str">
        <f aca="false">IF($C38="","",IF(設定!$B$11=0,0,(O38*設定!$B$4+P38*設定!$B$5+Q38*設定!$B$6+R38*設定!$B$7+S38*設定!$B$8+T38*設定!$B$9+U38*設定!$B$10)/設定!$B$11))</f>
        <v/>
      </c>
      <c r="W38" s="25" t="str">
        <f aca="false">IF($C38="","",IFERROR(INDEX(設定!$B$38:$B$40,MATCH($M38,設定!$A$38:$A$40,0)),1))</f>
        <v/>
      </c>
      <c r="X38" s="26" t="str">
        <f aca="false">IF($C38="","",ROUND(V38*W38,1))</f>
        <v/>
      </c>
      <c r="Y38" s="27" t="str">
        <f aca="false">IF($C38="","",INDEX(設定!$B$49:$B$53,MATCH(X38,設定!$A$49:$A$53,1)))</f>
        <v/>
      </c>
    </row>
    <row r="39" customFormat="false" ht="15" hidden="false" customHeight="false" outlineLevel="0" collapsed="false">
      <c r="A39" s="23" t="n">
        <v>35</v>
      </c>
      <c r="B39" s="24"/>
      <c r="C39" s="9"/>
      <c r="D39" s="9"/>
      <c r="E39" s="15"/>
      <c r="F39" s="9"/>
      <c r="G39" s="17"/>
      <c r="H39" s="9"/>
      <c r="I39" s="9"/>
      <c r="J39" s="9"/>
      <c r="K39" s="9"/>
      <c r="L39" s="17"/>
      <c r="M39" s="9"/>
      <c r="N39" s="9"/>
      <c r="O39" s="25" t="str">
        <f aca="false">IF($C39="","",IFERROR(INDEX(設定!$B$14:$B$18,MATCH($E39,設定!$A$14:$A$18,0)),0))</f>
        <v/>
      </c>
      <c r="P39" s="25" t="str">
        <f aca="false">IF($C39="","",IF(N($G39)&lt;=1,0,MIN(100,LOG10($G39)/LOG10(設定!$B$43)*100)))</f>
        <v/>
      </c>
      <c r="Q39" s="25" t="str">
        <f aca="false">IF($C39="","",IFERROR(INDEX(設定!$B$21:$B$24,MATCH($H39,設定!$A$21:$A$24,0)),0))</f>
        <v/>
      </c>
      <c r="R39" s="25" t="str">
        <f aca="false">IF($C39="","",IF(設定!$B$45&lt;=0,0,MIN(100,N($I39)/設定!$B$45*100)))</f>
        <v/>
      </c>
      <c r="S39" s="25" t="str">
        <f aca="false">IF($C39="","",IFERROR(INDEX(設定!$B$27:$B$29,MATCH($J39,設定!$A$27:$A$29,0)),0))</f>
        <v/>
      </c>
      <c r="T39" s="25" t="str">
        <f aca="false">IF($C39="","",IFERROR(INDEX(設定!$B$32:$B$35,MATCH($K39,設定!$A$32:$A$35,0)),0))</f>
        <v/>
      </c>
      <c r="U39" s="25" t="str">
        <f aca="false">IF($C39="","",IF(N($L39)&lt;1,0,MIN(100,LOG10($L39+1)/LOG10(設定!$B$44+1)*100)))</f>
        <v/>
      </c>
      <c r="V39" s="25" t="str">
        <f aca="false">IF($C39="","",IF(設定!$B$11=0,0,(O39*設定!$B$4+P39*設定!$B$5+Q39*設定!$B$6+R39*設定!$B$7+S39*設定!$B$8+T39*設定!$B$9+U39*設定!$B$10)/設定!$B$11))</f>
        <v/>
      </c>
      <c r="W39" s="25" t="str">
        <f aca="false">IF($C39="","",IFERROR(INDEX(設定!$B$38:$B$40,MATCH($M39,設定!$A$38:$A$40,0)),1))</f>
        <v/>
      </c>
      <c r="X39" s="26" t="str">
        <f aca="false">IF($C39="","",ROUND(V39*W39,1))</f>
        <v/>
      </c>
      <c r="Y39" s="27" t="str">
        <f aca="false">IF($C39="","",INDEX(設定!$B$49:$B$53,MATCH(X39,設定!$A$49:$A$53,1)))</f>
        <v/>
      </c>
    </row>
    <row r="40" customFormat="false" ht="15" hidden="false" customHeight="false" outlineLevel="0" collapsed="false">
      <c r="A40" s="23" t="n">
        <v>36</v>
      </c>
      <c r="B40" s="24"/>
      <c r="C40" s="9"/>
      <c r="D40" s="9"/>
      <c r="E40" s="15"/>
      <c r="F40" s="9"/>
      <c r="G40" s="17"/>
      <c r="H40" s="9"/>
      <c r="I40" s="9"/>
      <c r="J40" s="9"/>
      <c r="K40" s="9"/>
      <c r="L40" s="17"/>
      <c r="M40" s="9"/>
      <c r="N40" s="9"/>
      <c r="O40" s="25" t="str">
        <f aca="false">IF($C40="","",IFERROR(INDEX(設定!$B$14:$B$18,MATCH($E40,設定!$A$14:$A$18,0)),0))</f>
        <v/>
      </c>
      <c r="P40" s="25" t="str">
        <f aca="false">IF($C40="","",IF(N($G40)&lt;=1,0,MIN(100,LOG10($G40)/LOG10(設定!$B$43)*100)))</f>
        <v/>
      </c>
      <c r="Q40" s="25" t="str">
        <f aca="false">IF($C40="","",IFERROR(INDEX(設定!$B$21:$B$24,MATCH($H40,設定!$A$21:$A$24,0)),0))</f>
        <v/>
      </c>
      <c r="R40" s="25" t="str">
        <f aca="false">IF($C40="","",IF(設定!$B$45&lt;=0,0,MIN(100,N($I40)/設定!$B$45*100)))</f>
        <v/>
      </c>
      <c r="S40" s="25" t="str">
        <f aca="false">IF($C40="","",IFERROR(INDEX(設定!$B$27:$B$29,MATCH($J40,設定!$A$27:$A$29,0)),0))</f>
        <v/>
      </c>
      <c r="T40" s="25" t="str">
        <f aca="false">IF($C40="","",IFERROR(INDEX(設定!$B$32:$B$35,MATCH($K40,設定!$A$32:$A$35,0)),0))</f>
        <v/>
      </c>
      <c r="U40" s="25" t="str">
        <f aca="false">IF($C40="","",IF(N($L40)&lt;1,0,MIN(100,LOG10($L40+1)/LOG10(設定!$B$44+1)*100)))</f>
        <v/>
      </c>
      <c r="V40" s="25" t="str">
        <f aca="false">IF($C40="","",IF(設定!$B$11=0,0,(O40*設定!$B$4+P40*設定!$B$5+Q40*設定!$B$6+R40*設定!$B$7+S40*設定!$B$8+T40*設定!$B$9+U40*設定!$B$10)/設定!$B$11))</f>
        <v/>
      </c>
      <c r="W40" s="25" t="str">
        <f aca="false">IF($C40="","",IFERROR(INDEX(設定!$B$38:$B$40,MATCH($M40,設定!$A$38:$A$40,0)),1))</f>
        <v/>
      </c>
      <c r="X40" s="26" t="str">
        <f aca="false">IF($C40="","",ROUND(V40*W40,1))</f>
        <v/>
      </c>
      <c r="Y40" s="27" t="str">
        <f aca="false">IF($C40="","",INDEX(設定!$B$49:$B$53,MATCH(X40,設定!$A$49:$A$53,1)))</f>
        <v/>
      </c>
    </row>
    <row r="41" customFormat="false" ht="15" hidden="false" customHeight="false" outlineLevel="0" collapsed="false">
      <c r="A41" s="23" t="n">
        <v>37</v>
      </c>
      <c r="B41" s="24"/>
      <c r="C41" s="9"/>
      <c r="D41" s="9"/>
      <c r="E41" s="15"/>
      <c r="F41" s="9"/>
      <c r="G41" s="17"/>
      <c r="H41" s="9"/>
      <c r="I41" s="9"/>
      <c r="J41" s="9"/>
      <c r="K41" s="9"/>
      <c r="L41" s="17"/>
      <c r="M41" s="9"/>
      <c r="N41" s="9"/>
      <c r="O41" s="25" t="str">
        <f aca="false">IF($C41="","",IFERROR(INDEX(設定!$B$14:$B$18,MATCH($E41,設定!$A$14:$A$18,0)),0))</f>
        <v/>
      </c>
      <c r="P41" s="25" t="str">
        <f aca="false">IF($C41="","",IF(N($G41)&lt;=1,0,MIN(100,LOG10($G41)/LOG10(設定!$B$43)*100)))</f>
        <v/>
      </c>
      <c r="Q41" s="25" t="str">
        <f aca="false">IF($C41="","",IFERROR(INDEX(設定!$B$21:$B$24,MATCH($H41,設定!$A$21:$A$24,0)),0))</f>
        <v/>
      </c>
      <c r="R41" s="25" t="str">
        <f aca="false">IF($C41="","",IF(設定!$B$45&lt;=0,0,MIN(100,N($I41)/設定!$B$45*100)))</f>
        <v/>
      </c>
      <c r="S41" s="25" t="str">
        <f aca="false">IF($C41="","",IFERROR(INDEX(設定!$B$27:$B$29,MATCH($J41,設定!$A$27:$A$29,0)),0))</f>
        <v/>
      </c>
      <c r="T41" s="25" t="str">
        <f aca="false">IF($C41="","",IFERROR(INDEX(設定!$B$32:$B$35,MATCH($K41,設定!$A$32:$A$35,0)),0))</f>
        <v/>
      </c>
      <c r="U41" s="25" t="str">
        <f aca="false">IF($C41="","",IF(N($L41)&lt;1,0,MIN(100,LOG10($L41+1)/LOG10(設定!$B$44+1)*100)))</f>
        <v/>
      </c>
      <c r="V41" s="25" t="str">
        <f aca="false">IF($C41="","",IF(設定!$B$11=0,0,(O41*設定!$B$4+P41*設定!$B$5+Q41*設定!$B$6+R41*設定!$B$7+S41*設定!$B$8+T41*設定!$B$9+U41*設定!$B$10)/設定!$B$11))</f>
        <v/>
      </c>
      <c r="W41" s="25" t="str">
        <f aca="false">IF($C41="","",IFERROR(INDEX(設定!$B$38:$B$40,MATCH($M41,設定!$A$38:$A$40,0)),1))</f>
        <v/>
      </c>
      <c r="X41" s="26" t="str">
        <f aca="false">IF($C41="","",ROUND(V41*W41,1))</f>
        <v/>
      </c>
      <c r="Y41" s="27" t="str">
        <f aca="false">IF($C41="","",INDEX(設定!$B$49:$B$53,MATCH(X41,設定!$A$49:$A$53,1)))</f>
        <v/>
      </c>
    </row>
    <row r="42" customFormat="false" ht="15" hidden="false" customHeight="false" outlineLevel="0" collapsed="false">
      <c r="A42" s="23" t="n">
        <v>38</v>
      </c>
      <c r="B42" s="24"/>
      <c r="C42" s="9"/>
      <c r="D42" s="9"/>
      <c r="E42" s="15"/>
      <c r="F42" s="9"/>
      <c r="G42" s="17"/>
      <c r="H42" s="9"/>
      <c r="I42" s="9"/>
      <c r="J42" s="9"/>
      <c r="K42" s="9"/>
      <c r="L42" s="17"/>
      <c r="M42" s="9"/>
      <c r="N42" s="9"/>
      <c r="O42" s="25" t="str">
        <f aca="false">IF($C42="","",IFERROR(INDEX(設定!$B$14:$B$18,MATCH($E42,設定!$A$14:$A$18,0)),0))</f>
        <v/>
      </c>
      <c r="P42" s="25" t="str">
        <f aca="false">IF($C42="","",IF(N($G42)&lt;=1,0,MIN(100,LOG10($G42)/LOG10(設定!$B$43)*100)))</f>
        <v/>
      </c>
      <c r="Q42" s="25" t="str">
        <f aca="false">IF($C42="","",IFERROR(INDEX(設定!$B$21:$B$24,MATCH($H42,設定!$A$21:$A$24,0)),0))</f>
        <v/>
      </c>
      <c r="R42" s="25" t="str">
        <f aca="false">IF($C42="","",IF(設定!$B$45&lt;=0,0,MIN(100,N($I42)/設定!$B$45*100)))</f>
        <v/>
      </c>
      <c r="S42" s="25" t="str">
        <f aca="false">IF($C42="","",IFERROR(INDEX(設定!$B$27:$B$29,MATCH($J42,設定!$A$27:$A$29,0)),0))</f>
        <v/>
      </c>
      <c r="T42" s="25" t="str">
        <f aca="false">IF($C42="","",IFERROR(INDEX(設定!$B$32:$B$35,MATCH($K42,設定!$A$32:$A$35,0)),0))</f>
        <v/>
      </c>
      <c r="U42" s="25" t="str">
        <f aca="false">IF($C42="","",IF(N($L42)&lt;1,0,MIN(100,LOG10($L42+1)/LOG10(設定!$B$44+1)*100)))</f>
        <v/>
      </c>
      <c r="V42" s="25" t="str">
        <f aca="false">IF($C42="","",IF(設定!$B$11=0,0,(O42*設定!$B$4+P42*設定!$B$5+Q42*設定!$B$6+R42*設定!$B$7+S42*設定!$B$8+T42*設定!$B$9+U42*設定!$B$10)/設定!$B$11))</f>
        <v/>
      </c>
      <c r="W42" s="25" t="str">
        <f aca="false">IF($C42="","",IFERROR(INDEX(設定!$B$38:$B$40,MATCH($M42,設定!$A$38:$A$40,0)),1))</f>
        <v/>
      </c>
      <c r="X42" s="26" t="str">
        <f aca="false">IF($C42="","",ROUND(V42*W42,1))</f>
        <v/>
      </c>
      <c r="Y42" s="27" t="str">
        <f aca="false">IF($C42="","",INDEX(設定!$B$49:$B$53,MATCH(X42,設定!$A$49:$A$53,1)))</f>
        <v/>
      </c>
    </row>
    <row r="43" customFormat="false" ht="15" hidden="false" customHeight="false" outlineLevel="0" collapsed="false">
      <c r="A43" s="23" t="n">
        <v>39</v>
      </c>
      <c r="B43" s="24"/>
      <c r="C43" s="9"/>
      <c r="D43" s="9"/>
      <c r="E43" s="15"/>
      <c r="F43" s="9"/>
      <c r="G43" s="17"/>
      <c r="H43" s="9"/>
      <c r="I43" s="9"/>
      <c r="J43" s="9"/>
      <c r="K43" s="9"/>
      <c r="L43" s="17"/>
      <c r="M43" s="9"/>
      <c r="N43" s="9"/>
      <c r="O43" s="25" t="str">
        <f aca="false">IF($C43="","",IFERROR(INDEX(設定!$B$14:$B$18,MATCH($E43,設定!$A$14:$A$18,0)),0))</f>
        <v/>
      </c>
      <c r="P43" s="25" t="str">
        <f aca="false">IF($C43="","",IF(N($G43)&lt;=1,0,MIN(100,LOG10($G43)/LOG10(設定!$B$43)*100)))</f>
        <v/>
      </c>
      <c r="Q43" s="25" t="str">
        <f aca="false">IF($C43="","",IFERROR(INDEX(設定!$B$21:$B$24,MATCH($H43,設定!$A$21:$A$24,0)),0))</f>
        <v/>
      </c>
      <c r="R43" s="25" t="str">
        <f aca="false">IF($C43="","",IF(設定!$B$45&lt;=0,0,MIN(100,N($I43)/設定!$B$45*100)))</f>
        <v/>
      </c>
      <c r="S43" s="25" t="str">
        <f aca="false">IF($C43="","",IFERROR(INDEX(設定!$B$27:$B$29,MATCH($J43,設定!$A$27:$A$29,0)),0))</f>
        <v/>
      </c>
      <c r="T43" s="25" t="str">
        <f aca="false">IF($C43="","",IFERROR(INDEX(設定!$B$32:$B$35,MATCH($K43,設定!$A$32:$A$35,0)),0))</f>
        <v/>
      </c>
      <c r="U43" s="25" t="str">
        <f aca="false">IF($C43="","",IF(N($L43)&lt;1,0,MIN(100,LOG10($L43+1)/LOG10(設定!$B$44+1)*100)))</f>
        <v/>
      </c>
      <c r="V43" s="25" t="str">
        <f aca="false">IF($C43="","",IF(設定!$B$11=0,0,(O43*設定!$B$4+P43*設定!$B$5+Q43*設定!$B$6+R43*設定!$B$7+S43*設定!$B$8+T43*設定!$B$9+U43*設定!$B$10)/設定!$B$11))</f>
        <v/>
      </c>
      <c r="W43" s="25" t="str">
        <f aca="false">IF($C43="","",IFERROR(INDEX(設定!$B$38:$B$40,MATCH($M43,設定!$A$38:$A$40,0)),1))</f>
        <v/>
      </c>
      <c r="X43" s="26" t="str">
        <f aca="false">IF($C43="","",ROUND(V43*W43,1))</f>
        <v/>
      </c>
      <c r="Y43" s="27" t="str">
        <f aca="false">IF($C43="","",INDEX(設定!$B$49:$B$53,MATCH(X43,設定!$A$49:$A$53,1)))</f>
        <v/>
      </c>
    </row>
    <row r="44" customFormat="false" ht="15" hidden="false" customHeight="false" outlineLevel="0" collapsed="false">
      <c r="A44" s="23" t="n">
        <v>40</v>
      </c>
      <c r="B44" s="24"/>
      <c r="C44" s="9"/>
      <c r="D44" s="9"/>
      <c r="E44" s="15"/>
      <c r="F44" s="9"/>
      <c r="G44" s="17"/>
      <c r="H44" s="9"/>
      <c r="I44" s="9"/>
      <c r="J44" s="9"/>
      <c r="K44" s="9"/>
      <c r="L44" s="17"/>
      <c r="M44" s="9"/>
      <c r="N44" s="9"/>
      <c r="O44" s="25" t="str">
        <f aca="false">IF($C44="","",IFERROR(INDEX(設定!$B$14:$B$18,MATCH($E44,設定!$A$14:$A$18,0)),0))</f>
        <v/>
      </c>
      <c r="P44" s="25" t="str">
        <f aca="false">IF($C44="","",IF(N($G44)&lt;=1,0,MIN(100,LOG10($G44)/LOG10(設定!$B$43)*100)))</f>
        <v/>
      </c>
      <c r="Q44" s="25" t="str">
        <f aca="false">IF($C44="","",IFERROR(INDEX(設定!$B$21:$B$24,MATCH($H44,設定!$A$21:$A$24,0)),0))</f>
        <v/>
      </c>
      <c r="R44" s="25" t="str">
        <f aca="false">IF($C44="","",IF(設定!$B$45&lt;=0,0,MIN(100,N($I44)/設定!$B$45*100)))</f>
        <v/>
      </c>
      <c r="S44" s="25" t="str">
        <f aca="false">IF($C44="","",IFERROR(INDEX(設定!$B$27:$B$29,MATCH($J44,設定!$A$27:$A$29,0)),0))</f>
        <v/>
      </c>
      <c r="T44" s="25" t="str">
        <f aca="false">IF($C44="","",IFERROR(INDEX(設定!$B$32:$B$35,MATCH($K44,設定!$A$32:$A$35,0)),0))</f>
        <v/>
      </c>
      <c r="U44" s="25" t="str">
        <f aca="false">IF($C44="","",IF(N($L44)&lt;1,0,MIN(100,LOG10($L44+1)/LOG10(設定!$B$44+1)*100)))</f>
        <v/>
      </c>
      <c r="V44" s="25" t="str">
        <f aca="false">IF($C44="","",IF(設定!$B$11=0,0,(O44*設定!$B$4+P44*設定!$B$5+Q44*設定!$B$6+R44*設定!$B$7+S44*設定!$B$8+T44*設定!$B$9+U44*設定!$B$10)/設定!$B$11))</f>
        <v/>
      </c>
      <c r="W44" s="25" t="str">
        <f aca="false">IF($C44="","",IFERROR(INDEX(設定!$B$38:$B$40,MATCH($M44,設定!$A$38:$A$40,0)),1))</f>
        <v/>
      </c>
      <c r="X44" s="26" t="str">
        <f aca="false">IF($C44="","",ROUND(V44*W44,1))</f>
        <v/>
      </c>
      <c r="Y44" s="27" t="str">
        <f aca="false">IF($C44="","",INDEX(設定!$B$49:$B$53,MATCH(X44,設定!$A$49:$A$53,1)))</f>
        <v/>
      </c>
    </row>
    <row r="45" customFormat="false" ht="15" hidden="false" customHeight="false" outlineLevel="0" collapsed="false">
      <c r="A45" s="23" t="n">
        <v>41</v>
      </c>
      <c r="B45" s="24"/>
      <c r="C45" s="9"/>
      <c r="D45" s="9"/>
      <c r="E45" s="15"/>
      <c r="F45" s="9"/>
      <c r="G45" s="17"/>
      <c r="H45" s="9"/>
      <c r="I45" s="9"/>
      <c r="J45" s="9"/>
      <c r="K45" s="9"/>
      <c r="L45" s="17"/>
      <c r="M45" s="9"/>
      <c r="N45" s="9"/>
      <c r="O45" s="25" t="str">
        <f aca="false">IF($C45="","",IFERROR(INDEX(設定!$B$14:$B$18,MATCH($E45,設定!$A$14:$A$18,0)),0))</f>
        <v/>
      </c>
      <c r="P45" s="25" t="str">
        <f aca="false">IF($C45="","",IF(N($G45)&lt;=1,0,MIN(100,LOG10($G45)/LOG10(設定!$B$43)*100)))</f>
        <v/>
      </c>
      <c r="Q45" s="25" t="str">
        <f aca="false">IF($C45="","",IFERROR(INDEX(設定!$B$21:$B$24,MATCH($H45,設定!$A$21:$A$24,0)),0))</f>
        <v/>
      </c>
      <c r="R45" s="25" t="str">
        <f aca="false">IF($C45="","",IF(設定!$B$45&lt;=0,0,MIN(100,N($I45)/設定!$B$45*100)))</f>
        <v/>
      </c>
      <c r="S45" s="25" t="str">
        <f aca="false">IF($C45="","",IFERROR(INDEX(設定!$B$27:$B$29,MATCH($J45,設定!$A$27:$A$29,0)),0))</f>
        <v/>
      </c>
      <c r="T45" s="25" t="str">
        <f aca="false">IF($C45="","",IFERROR(INDEX(設定!$B$32:$B$35,MATCH($K45,設定!$A$32:$A$35,0)),0))</f>
        <v/>
      </c>
      <c r="U45" s="25" t="str">
        <f aca="false">IF($C45="","",IF(N($L45)&lt;1,0,MIN(100,LOG10($L45+1)/LOG10(設定!$B$44+1)*100)))</f>
        <v/>
      </c>
      <c r="V45" s="25" t="str">
        <f aca="false">IF($C45="","",IF(設定!$B$11=0,0,(O45*設定!$B$4+P45*設定!$B$5+Q45*設定!$B$6+R45*設定!$B$7+S45*設定!$B$8+T45*設定!$B$9+U45*設定!$B$10)/設定!$B$11))</f>
        <v/>
      </c>
      <c r="W45" s="25" t="str">
        <f aca="false">IF($C45="","",IFERROR(INDEX(設定!$B$38:$B$40,MATCH($M45,設定!$A$38:$A$40,0)),1))</f>
        <v/>
      </c>
      <c r="X45" s="26" t="str">
        <f aca="false">IF($C45="","",ROUND(V45*W45,1))</f>
        <v/>
      </c>
      <c r="Y45" s="27" t="str">
        <f aca="false">IF($C45="","",INDEX(設定!$B$49:$B$53,MATCH(X45,設定!$A$49:$A$53,1)))</f>
        <v/>
      </c>
    </row>
    <row r="46" customFormat="false" ht="15" hidden="false" customHeight="false" outlineLevel="0" collapsed="false">
      <c r="A46" s="23" t="n">
        <v>42</v>
      </c>
      <c r="B46" s="24"/>
      <c r="C46" s="9"/>
      <c r="D46" s="9"/>
      <c r="E46" s="15"/>
      <c r="F46" s="9"/>
      <c r="G46" s="17"/>
      <c r="H46" s="9"/>
      <c r="I46" s="9"/>
      <c r="J46" s="9"/>
      <c r="K46" s="9"/>
      <c r="L46" s="17"/>
      <c r="M46" s="9"/>
      <c r="N46" s="9"/>
      <c r="O46" s="25" t="str">
        <f aca="false">IF($C46="","",IFERROR(INDEX(設定!$B$14:$B$18,MATCH($E46,設定!$A$14:$A$18,0)),0))</f>
        <v/>
      </c>
      <c r="P46" s="25" t="str">
        <f aca="false">IF($C46="","",IF(N($G46)&lt;=1,0,MIN(100,LOG10($G46)/LOG10(設定!$B$43)*100)))</f>
        <v/>
      </c>
      <c r="Q46" s="25" t="str">
        <f aca="false">IF($C46="","",IFERROR(INDEX(設定!$B$21:$B$24,MATCH($H46,設定!$A$21:$A$24,0)),0))</f>
        <v/>
      </c>
      <c r="R46" s="25" t="str">
        <f aca="false">IF($C46="","",IF(設定!$B$45&lt;=0,0,MIN(100,N($I46)/設定!$B$45*100)))</f>
        <v/>
      </c>
      <c r="S46" s="25" t="str">
        <f aca="false">IF($C46="","",IFERROR(INDEX(設定!$B$27:$B$29,MATCH($J46,設定!$A$27:$A$29,0)),0))</f>
        <v/>
      </c>
      <c r="T46" s="25" t="str">
        <f aca="false">IF($C46="","",IFERROR(INDEX(設定!$B$32:$B$35,MATCH($K46,設定!$A$32:$A$35,0)),0))</f>
        <v/>
      </c>
      <c r="U46" s="25" t="str">
        <f aca="false">IF($C46="","",IF(N($L46)&lt;1,0,MIN(100,LOG10($L46+1)/LOG10(設定!$B$44+1)*100)))</f>
        <v/>
      </c>
      <c r="V46" s="25" t="str">
        <f aca="false">IF($C46="","",IF(設定!$B$11=0,0,(O46*設定!$B$4+P46*設定!$B$5+Q46*設定!$B$6+R46*設定!$B$7+S46*設定!$B$8+T46*設定!$B$9+U46*設定!$B$10)/設定!$B$11))</f>
        <v/>
      </c>
      <c r="W46" s="25" t="str">
        <f aca="false">IF($C46="","",IFERROR(INDEX(設定!$B$38:$B$40,MATCH($M46,設定!$A$38:$A$40,0)),1))</f>
        <v/>
      </c>
      <c r="X46" s="26" t="str">
        <f aca="false">IF($C46="","",ROUND(V46*W46,1))</f>
        <v/>
      </c>
      <c r="Y46" s="27" t="str">
        <f aca="false">IF($C46="","",INDEX(設定!$B$49:$B$53,MATCH(X46,設定!$A$49:$A$53,1)))</f>
        <v/>
      </c>
    </row>
    <row r="47" customFormat="false" ht="15" hidden="false" customHeight="false" outlineLevel="0" collapsed="false">
      <c r="A47" s="23" t="n">
        <v>43</v>
      </c>
      <c r="B47" s="24"/>
      <c r="C47" s="9"/>
      <c r="D47" s="9"/>
      <c r="E47" s="15"/>
      <c r="F47" s="9"/>
      <c r="G47" s="17"/>
      <c r="H47" s="9"/>
      <c r="I47" s="9"/>
      <c r="J47" s="9"/>
      <c r="K47" s="9"/>
      <c r="L47" s="17"/>
      <c r="M47" s="9"/>
      <c r="N47" s="9"/>
      <c r="O47" s="25" t="str">
        <f aca="false">IF($C47="","",IFERROR(INDEX(設定!$B$14:$B$18,MATCH($E47,設定!$A$14:$A$18,0)),0))</f>
        <v/>
      </c>
      <c r="P47" s="25" t="str">
        <f aca="false">IF($C47="","",IF(N($G47)&lt;=1,0,MIN(100,LOG10($G47)/LOG10(設定!$B$43)*100)))</f>
        <v/>
      </c>
      <c r="Q47" s="25" t="str">
        <f aca="false">IF($C47="","",IFERROR(INDEX(設定!$B$21:$B$24,MATCH($H47,設定!$A$21:$A$24,0)),0))</f>
        <v/>
      </c>
      <c r="R47" s="25" t="str">
        <f aca="false">IF($C47="","",IF(設定!$B$45&lt;=0,0,MIN(100,N($I47)/設定!$B$45*100)))</f>
        <v/>
      </c>
      <c r="S47" s="25" t="str">
        <f aca="false">IF($C47="","",IFERROR(INDEX(設定!$B$27:$B$29,MATCH($J47,設定!$A$27:$A$29,0)),0))</f>
        <v/>
      </c>
      <c r="T47" s="25" t="str">
        <f aca="false">IF($C47="","",IFERROR(INDEX(設定!$B$32:$B$35,MATCH($K47,設定!$A$32:$A$35,0)),0))</f>
        <v/>
      </c>
      <c r="U47" s="25" t="str">
        <f aca="false">IF($C47="","",IF(N($L47)&lt;1,0,MIN(100,LOG10($L47+1)/LOG10(設定!$B$44+1)*100)))</f>
        <v/>
      </c>
      <c r="V47" s="25" t="str">
        <f aca="false">IF($C47="","",IF(設定!$B$11=0,0,(O47*設定!$B$4+P47*設定!$B$5+Q47*設定!$B$6+R47*設定!$B$7+S47*設定!$B$8+T47*設定!$B$9+U47*設定!$B$10)/設定!$B$11))</f>
        <v/>
      </c>
      <c r="W47" s="25" t="str">
        <f aca="false">IF($C47="","",IFERROR(INDEX(設定!$B$38:$B$40,MATCH($M47,設定!$A$38:$A$40,0)),1))</f>
        <v/>
      </c>
      <c r="X47" s="26" t="str">
        <f aca="false">IF($C47="","",ROUND(V47*W47,1))</f>
        <v/>
      </c>
      <c r="Y47" s="27" t="str">
        <f aca="false">IF($C47="","",INDEX(設定!$B$49:$B$53,MATCH(X47,設定!$A$49:$A$53,1)))</f>
        <v/>
      </c>
    </row>
    <row r="48" customFormat="false" ht="15" hidden="false" customHeight="false" outlineLevel="0" collapsed="false">
      <c r="A48" s="23" t="n">
        <v>44</v>
      </c>
      <c r="B48" s="24"/>
      <c r="C48" s="9"/>
      <c r="D48" s="9"/>
      <c r="E48" s="15"/>
      <c r="F48" s="9"/>
      <c r="G48" s="17"/>
      <c r="H48" s="9"/>
      <c r="I48" s="9"/>
      <c r="J48" s="9"/>
      <c r="K48" s="9"/>
      <c r="L48" s="17"/>
      <c r="M48" s="9"/>
      <c r="N48" s="9"/>
      <c r="O48" s="25" t="str">
        <f aca="false">IF($C48="","",IFERROR(INDEX(設定!$B$14:$B$18,MATCH($E48,設定!$A$14:$A$18,0)),0))</f>
        <v/>
      </c>
      <c r="P48" s="25" t="str">
        <f aca="false">IF($C48="","",IF(N($G48)&lt;=1,0,MIN(100,LOG10($G48)/LOG10(設定!$B$43)*100)))</f>
        <v/>
      </c>
      <c r="Q48" s="25" t="str">
        <f aca="false">IF($C48="","",IFERROR(INDEX(設定!$B$21:$B$24,MATCH($H48,設定!$A$21:$A$24,0)),0))</f>
        <v/>
      </c>
      <c r="R48" s="25" t="str">
        <f aca="false">IF($C48="","",IF(設定!$B$45&lt;=0,0,MIN(100,N($I48)/設定!$B$45*100)))</f>
        <v/>
      </c>
      <c r="S48" s="25" t="str">
        <f aca="false">IF($C48="","",IFERROR(INDEX(設定!$B$27:$B$29,MATCH($J48,設定!$A$27:$A$29,0)),0))</f>
        <v/>
      </c>
      <c r="T48" s="25" t="str">
        <f aca="false">IF($C48="","",IFERROR(INDEX(設定!$B$32:$B$35,MATCH($K48,設定!$A$32:$A$35,0)),0))</f>
        <v/>
      </c>
      <c r="U48" s="25" t="str">
        <f aca="false">IF($C48="","",IF(N($L48)&lt;1,0,MIN(100,LOG10($L48+1)/LOG10(設定!$B$44+1)*100)))</f>
        <v/>
      </c>
      <c r="V48" s="25" t="str">
        <f aca="false">IF($C48="","",IF(設定!$B$11=0,0,(O48*設定!$B$4+P48*設定!$B$5+Q48*設定!$B$6+R48*設定!$B$7+S48*設定!$B$8+T48*設定!$B$9+U48*設定!$B$10)/設定!$B$11))</f>
        <v/>
      </c>
      <c r="W48" s="25" t="str">
        <f aca="false">IF($C48="","",IFERROR(INDEX(設定!$B$38:$B$40,MATCH($M48,設定!$A$38:$A$40,0)),1))</f>
        <v/>
      </c>
      <c r="X48" s="26" t="str">
        <f aca="false">IF($C48="","",ROUND(V48*W48,1))</f>
        <v/>
      </c>
      <c r="Y48" s="27" t="str">
        <f aca="false">IF($C48="","",INDEX(設定!$B$49:$B$53,MATCH(X48,設定!$A$49:$A$53,1)))</f>
        <v/>
      </c>
    </row>
    <row r="49" customFormat="false" ht="15" hidden="false" customHeight="false" outlineLevel="0" collapsed="false">
      <c r="A49" s="23" t="n">
        <v>45</v>
      </c>
      <c r="B49" s="24"/>
      <c r="C49" s="9"/>
      <c r="D49" s="9"/>
      <c r="E49" s="15"/>
      <c r="F49" s="9"/>
      <c r="G49" s="17"/>
      <c r="H49" s="9"/>
      <c r="I49" s="9"/>
      <c r="J49" s="9"/>
      <c r="K49" s="9"/>
      <c r="L49" s="17"/>
      <c r="M49" s="9"/>
      <c r="N49" s="9"/>
      <c r="O49" s="25" t="str">
        <f aca="false">IF($C49="","",IFERROR(INDEX(設定!$B$14:$B$18,MATCH($E49,設定!$A$14:$A$18,0)),0))</f>
        <v/>
      </c>
      <c r="P49" s="25" t="str">
        <f aca="false">IF($C49="","",IF(N($G49)&lt;=1,0,MIN(100,LOG10($G49)/LOG10(設定!$B$43)*100)))</f>
        <v/>
      </c>
      <c r="Q49" s="25" t="str">
        <f aca="false">IF($C49="","",IFERROR(INDEX(設定!$B$21:$B$24,MATCH($H49,設定!$A$21:$A$24,0)),0))</f>
        <v/>
      </c>
      <c r="R49" s="25" t="str">
        <f aca="false">IF($C49="","",IF(設定!$B$45&lt;=0,0,MIN(100,N($I49)/設定!$B$45*100)))</f>
        <v/>
      </c>
      <c r="S49" s="25" t="str">
        <f aca="false">IF($C49="","",IFERROR(INDEX(設定!$B$27:$B$29,MATCH($J49,設定!$A$27:$A$29,0)),0))</f>
        <v/>
      </c>
      <c r="T49" s="25" t="str">
        <f aca="false">IF($C49="","",IFERROR(INDEX(設定!$B$32:$B$35,MATCH($K49,設定!$A$32:$A$35,0)),0))</f>
        <v/>
      </c>
      <c r="U49" s="25" t="str">
        <f aca="false">IF($C49="","",IF(N($L49)&lt;1,0,MIN(100,LOG10($L49+1)/LOG10(設定!$B$44+1)*100)))</f>
        <v/>
      </c>
      <c r="V49" s="25" t="str">
        <f aca="false">IF($C49="","",IF(設定!$B$11=0,0,(O49*設定!$B$4+P49*設定!$B$5+Q49*設定!$B$6+R49*設定!$B$7+S49*設定!$B$8+T49*設定!$B$9+U49*設定!$B$10)/設定!$B$11))</f>
        <v/>
      </c>
      <c r="W49" s="25" t="str">
        <f aca="false">IF($C49="","",IFERROR(INDEX(設定!$B$38:$B$40,MATCH($M49,設定!$A$38:$A$40,0)),1))</f>
        <v/>
      </c>
      <c r="X49" s="26" t="str">
        <f aca="false">IF($C49="","",ROUND(V49*W49,1))</f>
        <v/>
      </c>
      <c r="Y49" s="27" t="str">
        <f aca="false">IF($C49="","",INDEX(設定!$B$49:$B$53,MATCH(X49,設定!$A$49:$A$53,1)))</f>
        <v/>
      </c>
    </row>
    <row r="50" customFormat="false" ht="15" hidden="false" customHeight="false" outlineLevel="0" collapsed="false">
      <c r="A50" s="23" t="n">
        <v>46</v>
      </c>
      <c r="B50" s="24"/>
      <c r="C50" s="9"/>
      <c r="D50" s="9"/>
      <c r="E50" s="15"/>
      <c r="F50" s="9"/>
      <c r="G50" s="17"/>
      <c r="H50" s="9"/>
      <c r="I50" s="9"/>
      <c r="J50" s="9"/>
      <c r="K50" s="9"/>
      <c r="L50" s="17"/>
      <c r="M50" s="9"/>
      <c r="N50" s="9"/>
      <c r="O50" s="25" t="str">
        <f aca="false">IF($C50="","",IFERROR(INDEX(設定!$B$14:$B$18,MATCH($E50,設定!$A$14:$A$18,0)),0))</f>
        <v/>
      </c>
      <c r="P50" s="25" t="str">
        <f aca="false">IF($C50="","",IF(N($G50)&lt;=1,0,MIN(100,LOG10($G50)/LOG10(設定!$B$43)*100)))</f>
        <v/>
      </c>
      <c r="Q50" s="25" t="str">
        <f aca="false">IF($C50="","",IFERROR(INDEX(設定!$B$21:$B$24,MATCH($H50,設定!$A$21:$A$24,0)),0))</f>
        <v/>
      </c>
      <c r="R50" s="25" t="str">
        <f aca="false">IF($C50="","",IF(設定!$B$45&lt;=0,0,MIN(100,N($I50)/設定!$B$45*100)))</f>
        <v/>
      </c>
      <c r="S50" s="25" t="str">
        <f aca="false">IF($C50="","",IFERROR(INDEX(設定!$B$27:$B$29,MATCH($J50,設定!$A$27:$A$29,0)),0))</f>
        <v/>
      </c>
      <c r="T50" s="25" t="str">
        <f aca="false">IF($C50="","",IFERROR(INDEX(設定!$B$32:$B$35,MATCH($K50,設定!$A$32:$A$35,0)),0))</f>
        <v/>
      </c>
      <c r="U50" s="25" t="str">
        <f aca="false">IF($C50="","",IF(N($L50)&lt;1,0,MIN(100,LOG10($L50+1)/LOG10(設定!$B$44+1)*100)))</f>
        <v/>
      </c>
      <c r="V50" s="25" t="str">
        <f aca="false">IF($C50="","",IF(設定!$B$11=0,0,(O50*設定!$B$4+P50*設定!$B$5+Q50*設定!$B$6+R50*設定!$B$7+S50*設定!$B$8+T50*設定!$B$9+U50*設定!$B$10)/設定!$B$11))</f>
        <v/>
      </c>
      <c r="W50" s="25" t="str">
        <f aca="false">IF($C50="","",IFERROR(INDEX(設定!$B$38:$B$40,MATCH($M50,設定!$A$38:$A$40,0)),1))</f>
        <v/>
      </c>
      <c r="X50" s="26" t="str">
        <f aca="false">IF($C50="","",ROUND(V50*W50,1))</f>
        <v/>
      </c>
      <c r="Y50" s="27" t="str">
        <f aca="false">IF($C50="","",INDEX(設定!$B$49:$B$53,MATCH(X50,設定!$A$49:$A$53,1)))</f>
        <v/>
      </c>
    </row>
    <row r="51" customFormat="false" ht="15" hidden="false" customHeight="false" outlineLevel="0" collapsed="false">
      <c r="A51" s="23" t="n">
        <v>47</v>
      </c>
      <c r="B51" s="24"/>
      <c r="C51" s="9"/>
      <c r="D51" s="9"/>
      <c r="E51" s="15"/>
      <c r="F51" s="9"/>
      <c r="G51" s="17"/>
      <c r="H51" s="9"/>
      <c r="I51" s="9"/>
      <c r="J51" s="9"/>
      <c r="K51" s="9"/>
      <c r="L51" s="17"/>
      <c r="M51" s="9"/>
      <c r="N51" s="9"/>
      <c r="O51" s="25" t="str">
        <f aca="false">IF($C51="","",IFERROR(INDEX(設定!$B$14:$B$18,MATCH($E51,設定!$A$14:$A$18,0)),0))</f>
        <v/>
      </c>
      <c r="P51" s="25" t="str">
        <f aca="false">IF($C51="","",IF(N($G51)&lt;=1,0,MIN(100,LOG10($G51)/LOG10(設定!$B$43)*100)))</f>
        <v/>
      </c>
      <c r="Q51" s="25" t="str">
        <f aca="false">IF($C51="","",IFERROR(INDEX(設定!$B$21:$B$24,MATCH($H51,設定!$A$21:$A$24,0)),0))</f>
        <v/>
      </c>
      <c r="R51" s="25" t="str">
        <f aca="false">IF($C51="","",IF(設定!$B$45&lt;=0,0,MIN(100,N($I51)/設定!$B$45*100)))</f>
        <v/>
      </c>
      <c r="S51" s="25" t="str">
        <f aca="false">IF($C51="","",IFERROR(INDEX(設定!$B$27:$B$29,MATCH($J51,設定!$A$27:$A$29,0)),0))</f>
        <v/>
      </c>
      <c r="T51" s="25" t="str">
        <f aca="false">IF($C51="","",IFERROR(INDEX(設定!$B$32:$B$35,MATCH($K51,設定!$A$32:$A$35,0)),0))</f>
        <v/>
      </c>
      <c r="U51" s="25" t="str">
        <f aca="false">IF($C51="","",IF(N($L51)&lt;1,0,MIN(100,LOG10($L51+1)/LOG10(設定!$B$44+1)*100)))</f>
        <v/>
      </c>
      <c r="V51" s="25" t="str">
        <f aca="false">IF($C51="","",IF(設定!$B$11=0,0,(O51*設定!$B$4+P51*設定!$B$5+Q51*設定!$B$6+R51*設定!$B$7+S51*設定!$B$8+T51*設定!$B$9+U51*設定!$B$10)/設定!$B$11))</f>
        <v/>
      </c>
      <c r="W51" s="25" t="str">
        <f aca="false">IF($C51="","",IFERROR(INDEX(設定!$B$38:$B$40,MATCH($M51,設定!$A$38:$A$40,0)),1))</f>
        <v/>
      </c>
      <c r="X51" s="26" t="str">
        <f aca="false">IF($C51="","",ROUND(V51*W51,1))</f>
        <v/>
      </c>
      <c r="Y51" s="27" t="str">
        <f aca="false">IF($C51="","",INDEX(設定!$B$49:$B$53,MATCH(X51,設定!$A$49:$A$53,1)))</f>
        <v/>
      </c>
    </row>
    <row r="52" customFormat="false" ht="15" hidden="false" customHeight="false" outlineLevel="0" collapsed="false">
      <c r="A52" s="23" t="n">
        <v>48</v>
      </c>
      <c r="B52" s="24"/>
      <c r="C52" s="9"/>
      <c r="D52" s="9"/>
      <c r="E52" s="15"/>
      <c r="F52" s="9"/>
      <c r="G52" s="17"/>
      <c r="H52" s="9"/>
      <c r="I52" s="9"/>
      <c r="J52" s="9"/>
      <c r="K52" s="9"/>
      <c r="L52" s="17"/>
      <c r="M52" s="9"/>
      <c r="N52" s="9"/>
      <c r="O52" s="25" t="str">
        <f aca="false">IF($C52="","",IFERROR(INDEX(設定!$B$14:$B$18,MATCH($E52,設定!$A$14:$A$18,0)),0))</f>
        <v/>
      </c>
      <c r="P52" s="25" t="str">
        <f aca="false">IF($C52="","",IF(N($G52)&lt;=1,0,MIN(100,LOG10($G52)/LOG10(設定!$B$43)*100)))</f>
        <v/>
      </c>
      <c r="Q52" s="25" t="str">
        <f aca="false">IF($C52="","",IFERROR(INDEX(設定!$B$21:$B$24,MATCH($H52,設定!$A$21:$A$24,0)),0))</f>
        <v/>
      </c>
      <c r="R52" s="25" t="str">
        <f aca="false">IF($C52="","",IF(設定!$B$45&lt;=0,0,MIN(100,N($I52)/設定!$B$45*100)))</f>
        <v/>
      </c>
      <c r="S52" s="25" t="str">
        <f aca="false">IF($C52="","",IFERROR(INDEX(設定!$B$27:$B$29,MATCH($J52,設定!$A$27:$A$29,0)),0))</f>
        <v/>
      </c>
      <c r="T52" s="25" t="str">
        <f aca="false">IF($C52="","",IFERROR(INDEX(設定!$B$32:$B$35,MATCH($K52,設定!$A$32:$A$35,0)),0))</f>
        <v/>
      </c>
      <c r="U52" s="25" t="str">
        <f aca="false">IF($C52="","",IF(N($L52)&lt;1,0,MIN(100,LOG10($L52+1)/LOG10(設定!$B$44+1)*100)))</f>
        <v/>
      </c>
      <c r="V52" s="25" t="str">
        <f aca="false">IF($C52="","",IF(設定!$B$11=0,0,(O52*設定!$B$4+P52*設定!$B$5+Q52*設定!$B$6+R52*設定!$B$7+S52*設定!$B$8+T52*設定!$B$9+U52*設定!$B$10)/設定!$B$11))</f>
        <v/>
      </c>
      <c r="W52" s="25" t="str">
        <f aca="false">IF($C52="","",IFERROR(INDEX(設定!$B$38:$B$40,MATCH($M52,設定!$A$38:$A$40,0)),1))</f>
        <v/>
      </c>
      <c r="X52" s="26" t="str">
        <f aca="false">IF($C52="","",ROUND(V52*W52,1))</f>
        <v/>
      </c>
      <c r="Y52" s="27" t="str">
        <f aca="false">IF($C52="","",INDEX(設定!$B$49:$B$53,MATCH(X52,設定!$A$49:$A$53,1)))</f>
        <v/>
      </c>
    </row>
    <row r="53" customFormat="false" ht="15" hidden="false" customHeight="false" outlineLevel="0" collapsed="false">
      <c r="A53" s="23" t="n">
        <v>49</v>
      </c>
      <c r="B53" s="24"/>
      <c r="C53" s="9"/>
      <c r="D53" s="9"/>
      <c r="E53" s="15"/>
      <c r="F53" s="9"/>
      <c r="G53" s="17"/>
      <c r="H53" s="9"/>
      <c r="I53" s="9"/>
      <c r="J53" s="9"/>
      <c r="K53" s="9"/>
      <c r="L53" s="17"/>
      <c r="M53" s="9"/>
      <c r="N53" s="9"/>
      <c r="O53" s="25" t="str">
        <f aca="false">IF($C53="","",IFERROR(INDEX(設定!$B$14:$B$18,MATCH($E53,設定!$A$14:$A$18,0)),0))</f>
        <v/>
      </c>
      <c r="P53" s="25" t="str">
        <f aca="false">IF($C53="","",IF(N($G53)&lt;=1,0,MIN(100,LOG10($G53)/LOG10(設定!$B$43)*100)))</f>
        <v/>
      </c>
      <c r="Q53" s="25" t="str">
        <f aca="false">IF($C53="","",IFERROR(INDEX(設定!$B$21:$B$24,MATCH($H53,設定!$A$21:$A$24,0)),0))</f>
        <v/>
      </c>
      <c r="R53" s="25" t="str">
        <f aca="false">IF($C53="","",IF(設定!$B$45&lt;=0,0,MIN(100,N($I53)/設定!$B$45*100)))</f>
        <v/>
      </c>
      <c r="S53" s="25" t="str">
        <f aca="false">IF($C53="","",IFERROR(INDEX(設定!$B$27:$B$29,MATCH($J53,設定!$A$27:$A$29,0)),0))</f>
        <v/>
      </c>
      <c r="T53" s="25" t="str">
        <f aca="false">IF($C53="","",IFERROR(INDEX(設定!$B$32:$B$35,MATCH($K53,設定!$A$32:$A$35,0)),0))</f>
        <v/>
      </c>
      <c r="U53" s="25" t="str">
        <f aca="false">IF($C53="","",IF(N($L53)&lt;1,0,MIN(100,LOG10($L53+1)/LOG10(設定!$B$44+1)*100)))</f>
        <v/>
      </c>
      <c r="V53" s="25" t="str">
        <f aca="false">IF($C53="","",IF(設定!$B$11=0,0,(O53*設定!$B$4+P53*設定!$B$5+Q53*設定!$B$6+R53*設定!$B$7+S53*設定!$B$8+T53*設定!$B$9+U53*設定!$B$10)/設定!$B$11))</f>
        <v/>
      </c>
      <c r="W53" s="25" t="str">
        <f aca="false">IF($C53="","",IFERROR(INDEX(設定!$B$38:$B$40,MATCH($M53,設定!$A$38:$A$40,0)),1))</f>
        <v/>
      </c>
      <c r="X53" s="26" t="str">
        <f aca="false">IF($C53="","",ROUND(V53*W53,1))</f>
        <v/>
      </c>
      <c r="Y53" s="27" t="str">
        <f aca="false">IF($C53="","",INDEX(設定!$B$49:$B$53,MATCH(X53,設定!$A$49:$A$53,1)))</f>
        <v/>
      </c>
    </row>
    <row r="54" customFormat="false" ht="15" hidden="false" customHeight="false" outlineLevel="0" collapsed="false">
      <c r="A54" s="23" t="n">
        <v>50</v>
      </c>
      <c r="B54" s="24"/>
      <c r="C54" s="9"/>
      <c r="D54" s="9"/>
      <c r="E54" s="15"/>
      <c r="F54" s="9"/>
      <c r="G54" s="17"/>
      <c r="H54" s="9"/>
      <c r="I54" s="9"/>
      <c r="J54" s="9"/>
      <c r="K54" s="9"/>
      <c r="L54" s="17"/>
      <c r="M54" s="9"/>
      <c r="N54" s="9"/>
      <c r="O54" s="25" t="str">
        <f aca="false">IF($C54="","",IFERROR(INDEX(設定!$B$14:$B$18,MATCH($E54,設定!$A$14:$A$18,0)),0))</f>
        <v/>
      </c>
      <c r="P54" s="25" t="str">
        <f aca="false">IF($C54="","",IF(N($G54)&lt;=1,0,MIN(100,LOG10($G54)/LOG10(設定!$B$43)*100)))</f>
        <v/>
      </c>
      <c r="Q54" s="25" t="str">
        <f aca="false">IF($C54="","",IFERROR(INDEX(設定!$B$21:$B$24,MATCH($H54,設定!$A$21:$A$24,0)),0))</f>
        <v/>
      </c>
      <c r="R54" s="25" t="str">
        <f aca="false">IF($C54="","",IF(設定!$B$45&lt;=0,0,MIN(100,N($I54)/設定!$B$45*100)))</f>
        <v/>
      </c>
      <c r="S54" s="25" t="str">
        <f aca="false">IF($C54="","",IFERROR(INDEX(設定!$B$27:$B$29,MATCH($J54,設定!$A$27:$A$29,0)),0))</f>
        <v/>
      </c>
      <c r="T54" s="25" t="str">
        <f aca="false">IF($C54="","",IFERROR(INDEX(設定!$B$32:$B$35,MATCH($K54,設定!$A$32:$A$35,0)),0))</f>
        <v/>
      </c>
      <c r="U54" s="25" t="str">
        <f aca="false">IF($C54="","",IF(N($L54)&lt;1,0,MIN(100,LOG10($L54+1)/LOG10(設定!$B$44+1)*100)))</f>
        <v/>
      </c>
      <c r="V54" s="25" t="str">
        <f aca="false">IF($C54="","",IF(設定!$B$11=0,0,(O54*設定!$B$4+P54*設定!$B$5+Q54*設定!$B$6+R54*設定!$B$7+S54*設定!$B$8+T54*設定!$B$9+U54*設定!$B$10)/設定!$B$11))</f>
        <v/>
      </c>
      <c r="W54" s="25" t="str">
        <f aca="false">IF($C54="","",IFERROR(INDEX(設定!$B$38:$B$40,MATCH($M54,設定!$A$38:$A$40,0)),1))</f>
        <v/>
      </c>
      <c r="X54" s="26" t="str">
        <f aca="false">IF($C54="","",ROUND(V54*W54,1))</f>
        <v/>
      </c>
      <c r="Y54" s="27" t="str">
        <f aca="false">IF($C54="","",INDEX(設定!$B$49:$B$53,MATCH(X54,設定!$A$49:$A$53,1)))</f>
        <v/>
      </c>
    </row>
    <row r="55" customFormat="false" ht="15" hidden="false" customHeight="false" outlineLevel="0" collapsed="false">
      <c r="A55" s="23" t="n">
        <v>51</v>
      </c>
      <c r="B55" s="24"/>
      <c r="C55" s="9"/>
      <c r="D55" s="9"/>
      <c r="E55" s="15"/>
      <c r="F55" s="9"/>
      <c r="G55" s="17"/>
      <c r="H55" s="9"/>
      <c r="I55" s="9"/>
      <c r="J55" s="9"/>
      <c r="K55" s="9"/>
      <c r="L55" s="17"/>
      <c r="M55" s="9"/>
      <c r="N55" s="9"/>
      <c r="O55" s="25" t="str">
        <f aca="false">IF($C55="","",IFERROR(INDEX(設定!$B$14:$B$18,MATCH($E55,設定!$A$14:$A$18,0)),0))</f>
        <v/>
      </c>
      <c r="P55" s="25" t="str">
        <f aca="false">IF($C55="","",IF(N($G55)&lt;=1,0,MIN(100,LOG10($G55)/LOG10(設定!$B$43)*100)))</f>
        <v/>
      </c>
      <c r="Q55" s="25" t="str">
        <f aca="false">IF($C55="","",IFERROR(INDEX(設定!$B$21:$B$24,MATCH($H55,設定!$A$21:$A$24,0)),0))</f>
        <v/>
      </c>
      <c r="R55" s="25" t="str">
        <f aca="false">IF($C55="","",IF(設定!$B$45&lt;=0,0,MIN(100,N($I55)/設定!$B$45*100)))</f>
        <v/>
      </c>
      <c r="S55" s="25" t="str">
        <f aca="false">IF($C55="","",IFERROR(INDEX(設定!$B$27:$B$29,MATCH($J55,設定!$A$27:$A$29,0)),0))</f>
        <v/>
      </c>
      <c r="T55" s="25" t="str">
        <f aca="false">IF($C55="","",IFERROR(INDEX(設定!$B$32:$B$35,MATCH($K55,設定!$A$32:$A$35,0)),0))</f>
        <v/>
      </c>
      <c r="U55" s="25" t="str">
        <f aca="false">IF($C55="","",IF(N($L55)&lt;1,0,MIN(100,LOG10($L55+1)/LOG10(設定!$B$44+1)*100)))</f>
        <v/>
      </c>
      <c r="V55" s="25" t="str">
        <f aca="false">IF($C55="","",IF(設定!$B$11=0,0,(O55*設定!$B$4+P55*設定!$B$5+Q55*設定!$B$6+R55*設定!$B$7+S55*設定!$B$8+T55*設定!$B$9+U55*設定!$B$10)/設定!$B$11))</f>
        <v/>
      </c>
      <c r="W55" s="25" t="str">
        <f aca="false">IF($C55="","",IFERROR(INDEX(設定!$B$38:$B$40,MATCH($M55,設定!$A$38:$A$40,0)),1))</f>
        <v/>
      </c>
      <c r="X55" s="26" t="str">
        <f aca="false">IF($C55="","",ROUND(V55*W55,1))</f>
        <v/>
      </c>
      <c r="Y55" s="27" t="str">
        <f aca="false">IF($C55="","",INDEX(設定!$B$49:$B$53,MATCH(X55,設定!$A$49:$A$53,1)))</f>
        <v/>
      </c>
    </row>
    <row r="56" customFormat="false" ht="15" hidden="false" customHeight="false" outlineLevel="0" collapsed="false">
      <c r="A56" s="23" t="n">
        <v>52</v>
      </c>
      <c r="B56" s="24"/>
      <c r="C56" s="9"/>
      <c r="D56" s="9"/>
      <c r="E56" s="15"/>
      <c r="F56" s="9"/>
      <c r="G56" s="17"/>
      <c r="H56" s="9"/>
      <c r="I56" s="9"/>
      <c r="J56" s="9"/>
      <c r="K56" s="9"/>
      <c r="L56" s="17"/>
      <c r="M56" s="9"/>
      <c r="N56" s="9"/>
      <c r="O56" s="25" t="str">
        <f aca="false">IF($C56="","",IFERROR(INDEX(設定!$B$14:$B$18,MATCH($E56,設定!$A$14:$A$18,0)),0))</f>
        <v/>
      </c>
      <c r="P56" s="25" t="str">
        <f aca="false">IF($C56="","",IF(N($G56)&lt;=1,0,MIN(100,LOG10($G56)/LOG10(設定!$B$43)*100)))</f>
        <v/>
      </c>
      <c r="Q56" s="25" t="str">
        <f aca="false">IF($C56="","",IFERROR(INDEX(設定!$B$21:$B$24,MATCH($H56,設定!$A$21:$A$24,0)),0))</f>
        <v/>
      </c>
      <c r="R56" s="25" t="str">
        <f aca="false">IF($C56="","",IF(設定!$B$45&lt;=0,0,MIN(100,N($I56)/設定!$B$45*100)))</f>
        <v/>
      </c>
      <c r="S56" s="25" t="str">
        <f aca="false">IF($C56="","",IFERROR(INDEX(設定!$B$27:$B$29,MATCH($J56,設定!$A$27:$A$29,0)),0))</f>
        <v/>
      </c>
      <c r="T56" s="25" t="str">
        <f aca="false">IF($C56="","",IFERROR(INDEX(設定!$B$32:$B$35,MATCH($K56,設定!$A$32:$A$35,0)),0))</f>
        <v/>
      </c>
      <c r="U56" s="25" t="str">
        <f aca="false">IF($C56="","",IF(N($L56)&lt;1,0,MIN(100,LOG10($L56+1)/LOG10(設定!$B$44+1)*100)))</f>
        <v/>
      </c>
      <c r="V56" s="25" t="str">
        <f aca="false">IF($C56="","",IF(設定!$B$11=0,0,(O56*設定!$B$4+P56*設定!$B$5+Q56*設定!$B$6+R56*設定!$B$7+S56*設定!$B$8+T56*設定!$B$9+U56*設定!$B$10)/設定!$B$11))</f>
        <v/>
      </c>
      <c r="W56" s="25" t="str">
        <f aca="false">IF($C56="","",IFERROR(INDEX(設定!$B$38:$B$40,MATCH($M56,設定!$A$38:$A$40,0)),1))</f>
        <v/>
      </c>
      <c r="X56" s="26" t="str">
        <f aca="false">IF($C56="","",ROUND(V56*W56,1))</f>
        <v/>
      </c>
      <c r="Y56" s="27" t="str">
        <f aca="false">IF($C56="","",INDEX(設定!$B$49:$B$53,MATCH(X56,設定!$A$49:$A$53,1)))</f>
        <v/>
      </c>
    </row>
    <row r="57" customFormat="false" ht="15" hidden="false" customHeight="false" outlineLevel="0" collapsed="false">
      <c r="A57" s="23" t="n">
        <v>53</v>
      </c>
      <c r="B57" s="24"/>
      <c r="C57" s="9"/>
      <c r="D57" s="9"/>
      <c r="E57" s="15"/>
      <c r="F57" s="9"/>
      <c r="G57" s="17"/>
      <c r="H57" s="9"/>
      <c r="I57" s="9"/>
      <c r="J57" s="9"/>
      <c r="K57" s="9"/>
      <c r="L57" s="17"/>
      <c r="M57" s="9"/>
      <c r="N57" s="9"/>
      <c r="O57" s="25" t="str">
        <f aca="false">IF($C57="","",IFERROR(INDEX(設定!$B$14:$B$18,MATCH($E57,設定!$A$14:$A$18,0)),0))</f>
        <v/>
      </c>
      <c r="P57" s="25" t="str">
        <f aca="false">IF($C57="","",IF(N($G57)&lt;=1,0,MIN(100,LOG10($G57)/LOG10(設定!$B$43)*100)))</f>
        <v/>
      </c>
      <c r="Q57" s="25" t="str">
        <f aca="false">IF($C57="","",IFERROR(INDEX(設定!$B$21:$B$24,MATCH($H57,設定!$A$21:$A$24,0)),0))</f>
        <v/>
      </c>
      <c r="R57" s="25" t="str">
        <f aca="false">IF($C57="","",IF(設定!$B$45&lt;=0,0,MIN(100,N($I57)/設定!$B$45*100)))</f>
        <v/>
      </c>
      <c r="S57" s="25" t="str">
        <f aca="false">IF($C57="","",IFERROR(INDEX(設定!$B$27:$B$29,MATCH($J57,設定!$A$27:$A$29,0)),0))</f>
        <v/>
      </c>
      <c r="T57" s="25" t="str">
        <f aca="false">IF($C57="","",IFERROR(INDEX(設定!$B$32:$B$35,MATCH($K57,設定!$A$32:$A$35,0)),0))</f>
        <v/>
      </c>
      <c r="U57" s="25" t="str">
        <f aca="false">IF($C57="","",IF(N($L57)&lt;1,0,MIN(100,LOG10($L57+1)/LOG10(設定!$B$44+1)*100)))</f>
        <v/>
      </c>
      <c r="V57" s="25" t="str">
        <f aca="false">IF($C57="","",IF(設定!$B$11=0,0,(O57*設定!$B$4+P57*設定!$B$5+Q57*設定!$B$6+R57*設定!$B$7+S57*設定!$B$8+T57*設定!$B$9+U57*設定!$B$10)/設定!$B$11))</f>
        <v/>
      </c>
      <c r="W57" s="25" t="str">
        <f aca="false">IF($C57="","",IFERROR(INDEX(設定!$B$38:$B$40,MATCH($M57,設定!$A$38:$A$40,0)),1))</f>
        <v/>
      </c>
      <c r="X57" s="26" t="str">
        <f aca="false">IF($C57="","",ROUND(V57*W57,1))</f>
        <v/>
      </c>
      <c r="Y57" s="27" t="str">
        <f aca="false">IF($C57="","",INDEX(設定!$B$49:$B$53,MATCH(X57,設定!$A$49:$A$53,1)))</f>
        <v/>
      </c>
    </row>
    <row r="58" customFormat="false" ht="15" hidden="false" customHeight="false" outlineLevel="0" collapsed="false">
      <c r="A58" s="23" t="n">
        <v>54</v>
      </c>
      <c r="B58" s="24"/>
      <c r="C58" s="9"/>
      <c r="D58" s="9"/>
      <c r="E58" s="15"/>
      <c r="F58" s="9"/>
      <c r="G58" s="17"/>
      <c r="H58" s="9"/>
      <c r="I58" s="9"/>
      <c r="J58" s="9"/>
      <c r="K58" s="9"/>
      <c r="L58" s="17"/>
      <c r="M58" s="9"/>
      <c r="N58" s="9"/>
      <c r="O58" s="25" t="str">
        <f aca="false">IF($C58="","",IFERROR(INDEX(設定!$B$14:$B$18,MATCH($E58,設定!$A$14:$A$18,0)),0))</f>
        <v/>
      </c>
      <c r="P58" s="25" t="str">
        <f aca="false">IF($C58="","",IF(N($G58)&lt;=1,0,MIN(100,LOG10($G58)/LOG10(設定!$B$43)*100)))</f>
        <v/>
      </c>
      <c r="Q58" s="25" t="str">
        <f aca="false">IF($C58="","",IFERROR(INDEX(設定!$B$21:$B$24,MATCH($H58,設定!$A$21:$A$24,0)),0))</f>
        <v/>
      </c>
      <c r="R58" s="25" t="str">
        <f aca="false">IF($C58="","",IF(設定!$B$45&lt;=0,0,MIN(100,N($I58)/設定!$B$45*100)))</f>
        <v/>
      </c>
      <c r="S58" s="25" t="str">
        <f aca="false">IF($C58="","",IFERROR(INDEX(設定!$B$27:$B$29,MATCH($J58,設定!$A$27:$A$29,0)),0))</f>
        <v/>
      </c>
      <c r="T58" s="25" t="str">
        <f aca="false">IF($C58="","",IFERROR(INDEX(設定!$B$32:$B$35,MATCH($K58,設定!$A$32:$A$35,0)),0))</f>
        <v/>
      </c>
      <c r="U58" s="25" t="str">
        <f aca="false">IF($C58="","",IF(N($L58)&lt;1,0,MIN(100,LOG10($L58+1)/LOG10(設定!$B$44+1)*100)))</f>
        <v/>
      </c>
      <c r="V58" s="25" t="str">
        <f aca="false">IF($C58="","",IF(設定!$B$11=0,0,(O58*設定!$B$4+P58*設定!$B$5+Q58*設定!$B$6+R58*設定!$B$7+S58*設定!$B$8+T58*設定!$B$9+U58*設定!$B$10)/設定!$B$11))</f>
        <v/>
      </c>
      <c r="W58" s="25" t="str">
        <f aca="false">IF($C58="","",IFERROR(INDEX(設定!$B$38:$B$40,MATCH($M58,設定!$A$38:$A$40,0)),1))</f>
        <v/>
      </c>
      <c r="X58" s="26" t="str">
        <f aca="false">IF($C58="","",ROUND(V58*W58,1))</f>
        <v/>
      </c>
      <c r="Y58" s="27" t="str">
        <f aca="false">IF($C58="","",INDEX(設定!$B$49:$B$53,MATCH(X58,設定!$A$49:$A$53,1)))</f>
        <v/>
      </c>
    </row>
    <row r="59" customFormat="false" ht="15" hidden="false" customHeight="false" outlineLevel="0" collapsed="false">
      <c r="A59" s="23" t="n">
        <v>55</v>
      </c>
      <c r="B59" s="24"/>
      <c r="C59" s="9"/>
      <c r="D59" s="9"/>
      <c r="E59" s="15"/>
      <c r="F59" s="9"/>
      <c r="G59" s="17"/>
      <c r="H59" s="9"/>
      <c r="I59" s="9"/>
      <c r="J59" s="9"/>
      <c r="K59" s="9"/>
      <c r="L59" s="17"/>
      <c r="M59" s="9"/>
      <c r="N59" s="9"/>
      <c r="O59" s="25" t="str">
        <f aca="false">IF($C59="","",IFERROR(INDEX(設定!$B$14:$B$18,MATCH($E59,設定!$A$14:$A$18,0)),0))</f>
        <v/>
      </c>
      <c r="P59" s="25" t="str">
        <f aca="false">IF($C59="","",IF(N($G59)&lt;=1,0,MIN(100,LOG10($G59)/LOG10(設定!$B$43)*100)))</f>
        <v/>
      </c>
      <c r="Q59" s="25" t="str">
        <f aca="false">IF($C59="","",IFERROR(INDEX(設定!$B$21:$B$24,MATCH($H59,設定!$A$21:$A$24,0)),0))</f>
        <v/>
      </c>
      <c r="R59" s="25" t="str">
        <f aca="false">IF($C59="","",IF(設定!$B$45&lt;=0,0,MIN(100,N($I59)/設定!$B$45*100)))</f>
        <v/>
      </c>
      <c r="S59" s="25" t="str">
        <f aca="false">IF($C59="","",IFERROR(INDEX(設定!$B$27:$B$29,MATCH($J59,設定!$A$27:$A$29,0)),0))</f>
        <v/>
      </c>
      <c r="T59" s="25" t="str">
        <f aca="false">IF($C59="","",IFERROR(INDEX(設定!$B$32:$B$35,MATCH($K59,設定!$A$32:$A$35,0)),0))</f>
        <v/>
      </c>
      <c r="U59" s="25" t="str">
        <f aca="false">IF($C59="","",IF(N($L59)&lt;1,0,MIN(100,LOG10($L59+1)/LOG10(設定!$B$44+1)*100)))</f>
        <v/>
      </c>
      <c r="V59" s="25" t="str">
        <f aca="false">IF($C59="","",IF(設定!$B$11=0,0,(O59*設定!$B$4+P59*設定!$B$5+Q59*設定!$B$6+R59*設定!$B$7+S59*設定!$B$8+T59*設定!$B$9+U59*設定!$B$10)/設定!$B$11))</f>
        <v/>
      </c>
      <c r="W59" s="25" t="str">
        <f aca="false">IF($C59="","",IFERROR(INDEX(設定!$B$38:$B$40,MATCH($M59,設定!$A$38:$A$40,0)),1))</f>
        <v/>
      </c>
      <c r="X59" s="26" t="str">
        <f aca="false">IF($C59="","",ROUND(V59*W59,1))</f>
        <v/>
      </c>
      <c r="Y59" s="27" t="str">
        <f aca="false">IF($C59="","",INDEX(設定!$B$49:$B$53,MATCH(X59,設定!$A$49:$A$53,1)))</f>
        <v/>
      </c>
    </row>
    <row r="60" customFormat="false" ht="15" hidden="false" customHeight="false" outlineLevel="0" collapsed="false">
      <c r="A60" s="23" t="n">
        <v>56</v>
      </c>
      <c r="B60" s="24"/>
      <c r="C60" s="9"/>
      <c r="D60" s="9"/>
      <c r="E60" s="15"/>
      <c r="F60" s="9"/>
      <c r="G60" s="17"/>
      <c r="H60" s="9"/>
      <c r="I60" s="9"/>
      <c r="J60" s="9"/>
      <c r="K60" s="9"/>
      <c r="L60" s="17"/>
      <c r="M60" s="9"/>
      <c r="N60" s="9"/>
      <c r="O60" s="25" t="str">
        <f aca="false">IF($C60="","",IFERROR(INDEX(設定!$B$14:$B$18,MATCH($E60,設定!$A$14:$A$18,0)),0))</f>
        <v/>
      </c>
      <c r="P60" s="25" t="str">
        <f aca="false">IF($C60="","",IF(N($G60)&lt;=1,0,MIN(100,LOG10($G60)/LOG10(設定!$B$43)*100)))</f>
        <v/>
      </c>
      <c r="Q60" s="25" t="str">
        <f aca="false">IF($C60="","",IFERROR(INDEX(設定!$B$21:$B$24,MATCH($H60,設定!$A$21:$A$24,0)),0))</f>
        <v/>
      </c>
      <c r="R60" s="25" t="str">
        <f aca="false">IF($C60="","",IF(設定!$B$45&lt;=0,0,MIN(100,N($I60)/設定!$B$45*100)))</f>
        <v/>
      </c>
      <c r="S60" s="25" t="str">
        <f aca="false">IF($C60="","",IFERROR(INDEX(設定!$B$27:$B$29,MATCH($J60,設定!$A$27:$A$29,0)),0))</f>
        <v/>
      </c>
      <c r="T60" s="25" t="str">
        <f aca="false">IF($C60="","",IFERROR(INDEX(設定!$B$32:$B$35,MATCH($K60,設定!$A$32:$A$35,0)),0))</f>
        <v/>
      </c>
      <c r="U60" s="25" t="str">
        <f aca="false">IF($C60="","",IF(N($L60)&lt;1,0,MIN(100,LOG10($L60+1)/LOG10(設定!$B$44+1)*100)))</f>
        <v/>
      </c>
      <c r="V60" s="25" t="str">
        <f aca="false">IF($C60="","",IF(設定!$B$11=0,0,(O60*設定!$B$4+P60*設定!$B$5+Q60*設定!$B$6+R60*設定!$B$7+S60*設定!$B$8+T60*設定!$B$9+U60*設定!$B$10)/設定!$B$11))</f>
        <v/>
      </c>
      <c r="W60" s="25" t="str">
        <f aca="false">IF($C60="","",IFERROR(INDEX(設定!$B$38:$B$40,MATCH($M60,設定!$A$38:$A$40,0)),1))</f>
        <v/>
      </c>
      <c r="X60" s="26" t="str">
        <f aca="false">IF($C60="","",ROUND(V60*W60,1))</f>
        <v/>
      </c>
      <c r="Y60" s="27" t="str">
        <f aca="false">IF($C60="","",INDEX(設定!$B$49:$B$53,MATCH(X60,設定!$A$49:$A$53,1)))</f>
        <v/>
      </c>
    </row>
    <row r="61" customFormat="false" ht="15" hidden="false" customHeight="false" outlineLevel="0" collapsed="false">
      <c r="A61" s="23" t="n">
        <v>57</v>
      </c>
      <c r="B61" s="24"/>
      <c r="C61" s="9"/>
      <c r="D61" s="9"/>
      <c r="E61" s="15"/>
      <c r="F61" s="9"/>
      <c r="G61" s="17"/>
      <c r="H61" s="9"/>
      <c r="I61" s="9"/>
      <c r="J61" s="9"/>
      <c r="K61" s="9"/>
      <c r="L61" s="17"/>
      <c r="M61" s="9"/>
      <c r="N61" s="9"/>
      <c r="O61" s="25" t="str">
        <f aca="false">IF($C61="","",IFERROR(INDEX(設定!$B$14:$B$18,MATCH($E61,設定!$A$14:$A$18,0)),0))</f>
        <v/>
      </c>
      <c r="P61" s="25" t="str">
        <f aca="false">IF($C61="","",IF(N($G61)&lt;=1,0,MIN(100,LOG10($G61)/LOG10(設定!$B$43)*100)))</f>
        <v/>
      </c>
      <c r="Q61" s="25" t="str">
        <f aca="false">IF($C61="","",IFERROR(INDEX(設定!$B$21:$B$24,MATCH($H61,設定!$A$21:$A$24,0)),0))</f>
        <v/>
      </c>
      <c r="R61" s="25" t="str">
        <f aca="false">IF($C61="","",IF(設定!$B$45&lt;=0,0,MIN(100,N($I61)/設定!$B$45*100)))</f>
        <v/>
      </c>
      <c r="S61" s="25" t="str">
        <f aca="false">IF($C61="","",IFERROR(INDEX(設定!$B$27:$B$29,MATCH($J61,設定!$A$27:$A$29,0)),0))</f>
        <v/>
      </c>
      <c r="T61" s="25" t="str">
        <f aca="false">IF($C61="","",IFERROR(INDEX(設定!$B$32:$B$35,MATCH($K61,設定!$A$32:$A$35,0)),0))</f>
        <v/>
      </c>
      <c r="U61" s="25" t="str">
        <f aca="false">IF($C61="","",IF(N($L61)&lt;1,0,MIN(100,LOG10($L61+1)/LOG10(設定!$B$44+1)*100)))</f>
        <v/>
      </c>
      <c r="V61" s="25" t="str">
        <f aca="false">IF($C61="","",IF(設定!$B$11=0,0,(O61*設定!$B$4+P61*設定!$B$5+Q61*設定!$B$6+R61*設定!$B$7+S61*設定!$B$8+T61*設定!$B$9+U61*設定!$B$10)/設定!$B$11))</f>
        <v/>
      </c>
      <c r="W61" s="25" t="str">
        <f aca="false">IF($C61="","",IFERROR(INDEX(設定!$B$38:$B$40,MATCH($M61,設定!$A$38:$A$40,0)),1))</f>
        <v/>
      </c>
      <c r="X61" s="26" t="str">
        <f aca="false">IF($C61="","",ROUND(V61*W61,1))</f>
        <v/>
      </c>
      <c r="Y61" s="27" t="str">
        <f aca="false">IF($C61="","",INDEX(設定!$B$49:$B$53,MATCH(X61,設定!$A$49:$A$53,1)))</f>
        <v/>
      </c>
    </row>
    <row r="62" customFormat="false" ht="15" hidden="false" customHeight="false" outlineLevel="0" collapsed="false">
      <c r="A62" s="23" t="n">
        <v>58</v>
      </c>
      <c r="B62" s="24"/>
      <c r="C62" s="9"/>
      <c r="D62" s="9"/>
      <c r="E62" s="15"/>
      <c r="F62" s="9"/>
      <c r="G62" s="17"/>
      <c r="H62" s="9"/>
      <c r="I62" s="9"/>
      <c r="J62" s="9"/>
      <c r="K62" s="9"/>
      <c r="L62" s="17"/>
      <c r="M62" s="9"/>
      <c r="N62" s="9"/>
      <c r="O62" s="25" t="str">
        <f aca="false">IF($C62="","",IFERROR(INDEX(設定!$B$14:$B$18,MATCH($E62,設定!$A$14:$A$18,0)),0))</f>
        <v/>
      </c>
      <c r="P62" s="25" t="str">
        <f aca="false">IF($C62="","",IF(N($G62)&lt;=1,0,MIN(100,LOG10($G62)/LOG10(設定!$B$43)*100)))</f>
        <v/>
      </c>
      <c r="Q62" s="25" t="str">
        <f aca="false">IF($C62="","",IFERROR(INDEX(設定!$B$21:$B$24,MATCH($H62,設定!$A$21:$A$24,0)),0))</f>
        <v/>
      </c>
      <c r="R62" s="25" t="str">
        <f aca="false">IF($C62="","",IF(設定!$B$45&lt;=0,0,MIN(100,N($I62)/設定!$B$45*100)))</f>
        <v/>
      </c>
      <c r="S62" s="25" t="str">
        <f aca="false">IF($C62="","",IFERROR(INDEX(設定!$B$27:$B$29,MATCH($J62,設定!$A$27:$A$29,0)),0))</f>
        <v/>
      </c>
      <c r="T62" s="25" t="str">
        <f aca="false">IF($C62="","",IFERROR(INDEX(設定!$B$32:$B$35,MATCH($K62,設定!$A$32:$A$35,0)),0))</f>
        <v/>
      </c>
      <c r="U62" s="25" t="str">
        <f aca="false">IF($C62="","",IF(N($L62)&lt;1,0,MIN(100,LOG10($L62+1)/LOG10(設定!$B$44+1)*100)))</f>
        <v/>
      </c>
      <c r="V62" s="25" t="str">
        <f aca="false">IF($C62="","",IF(設定!$B$11=0,0,(O62*設定!$B$4+P62*設定!$B$5+Q62*設定!$B$6+R62*設定!$B$7+S62*設定!$B$8+T62*設定!$B$9+U62*設定!$B$10)/設定!$B$11))</f>
        <v/>
      </c>
      <c r="W62" s="25" t="str">
        <f aca="false">IF($C62="","",IFERROR(INDEX(設定!$B$38:$B$40,MATCH($M62,設定!$A$38:$A$40,0)),1))</f>
        <v/>
      </c>
      <c r="X62" s="26" t="str">
        <f aca="false">IF($C62="","",ROUND(V62*W62,1))</f>
        <v/>
      </c>
      <c r="Y62" s="27" t="str">
        <f aca="false">IF($C62="","",INDEX(設定!$B$49:$B$53,MATCH(X62,設定!$A$49:$A$53,1)))</f>
        <v/>
      </c>
    </row>
    <row r="63" customFormat="false" ht="15" hidden="false" customHeight="false" outlineLevel="0" collapsed="false">
      <c r="A63" s="23" t="n">
        <v>59</v>
      </c>
      <c r="B63" s="24"/>
      <c r="C63" s="9"/>
      <c r="D63" s="9"/>
      <c r="E63" s="15"/>
      <c r="F63" s="9"/>
      <c r="G63" s="17"/>
      <c r="H63" s="9"/>
      <c r="I63" s="9"/>
      <c r="J63" s="9"/>
      <c r="K63" s="9"/>
      <c r="L63" s="17"/>
      <c r="M63" s="9"/>
      <c r="N63" s="9"/>
      <c r="O63" s="25" t="str">
        <f aca="false">IF($C63="","",IFERROR(INDEX(設定!$B$14:$B$18,MATCH($E63,設定!$A$14:$A$18,0)),0))</f>
        <v/>
      </c>
      <c r="P63" s="25" t="str">
        <f aca="false">IF($C63="","",IF(N($G63)&lt;=1,0,MIN(100,LOG10($G63)/LOG10(設定!$B$43)*100)))</f>
        <v/>
      </c>
      <c r="Q63" s="25" t="str">
        <f aca="false">IF($C63="","",IFERROR(INDEX(設定!$B$21:$B$24,MATCH($H63,設定!$A$21:$A$24,0)),0))</f>
        <v/>
      </c>
      <c r="R63" s="25" t="str">
        <f aca="false">IF($C63="","",IF(設定!$B$45&lt;=0,0,MIN(100,N($I63)/設定!$B$45*100)))</f>
        <v/>
      </c>
      <c r="S63" s="25" t="str">
        <f aca="false">IF($C63="","",IFERROR(INDEX(設定!$B$27:$B$29,MATCH($J63,設定!$A$27:$A$29,0)),0))</f>
        <v/>
      </c>
      <c r="T63" s="25" t="str">
        <f aca="false">IF($C63="","",IFERROR(INDEX(設定!$B$32:$B$35,MATCH($K63,設定!$A$32:$A$35,0)),0))</f>
        <v/>
      </c>
      <c r="U63" s="25" t="str">
        <f aca="false">IF($C63="","",IF(N($L63)&lt;1,0,MIN(100,LOG10($L63+1)/LOG10(設定!$B$44+1)*100)))</f>
        <v/>
      </c>
      <c r="V63" s="25" t="str">
        <f aca="false">IF($C63="","",IF(設定!$B$11=0,0,(O63*設定!$B$4+P63*設定!$B$5+Q63*設定!$B$6+R63*設定!$B$7+S63*設定!$B$8+T63*設定!$B$9+U63*設定!$B$10)/設定!$B$11))</f>
        <v/>
      </c>
      <c r="W63" s="25" t="str">
        <f aca="false">IF($C63="","",IFERROR(INDEX(設定!$B$38:$B$40,MATCH($M63,設定!$A$38:$A$40,0)),1))</f>
        <v/>
      </c>
      <c r="X63" s="26" t="str">
        <f aca="false">IF($C63="","",ROUND(V63*W63,1))</f>
        <v/>
      </c>
      <c r="Y63" s="27" t="str">
        <f aca="false">IF($C63="","",INDEX(設定!$B$49:$B$53,MATCH(X63,設定!$A$49:$A$53,1)))</f>
        <v/>
      </c>
    </row>
    <row r="64" customFormat="false" ht="15" hidden="false" customHeight="false" outlineLevel="0" collapsed="false">
      <c r="A64" s="23" t="n">
        <v>60</v>
      </c>
      <c r="B64" s="24"/>
      <c r="C64" s="9"/>
      <c r="D64" s="9"/>
      <c r="E64" s="15"/>
      <c r="F64" s="9"/>
      <c r="G64" s="17"/>
      <c r="H64" s="9"/>
      <c r="I64" s="9"/>
      <c r="J64" s="9"/>
      <c r="K64" s="9"/>
      <c r="L64" s="17"/>
      <c r="M64" s="9"/>
      <c r="N64" s="9"/>
      <c r="O64" s="25" t="str">
        <f aca="false">IF($C64="","",IFERROR(INDEX(設定!$B$14:$B$18,MATCH($E64,設定!$A$14:$A$18,0)),0))</f>
        <v/>
      </c>
      <c r="P64" s="25" t="str">
        <f aca="false">IF($C64="","",IF(N($G64)&lt;=1,0,MIN(100,LOG10($G64)/LOG10(設定!$B$43)*100)))</f>
        <v/>
      </c>
      <c r="Q64" s="25" t="str">
        <f aca="false">IF($C64="","",IFERROR(INDEX(設定!$B$21:$B$24,MATCH($H64,設定!$A$21:$A$24,0)),0))</f>
        <v/>
      </c>
      <c r="R64" s="25" t="str">
        <f aca="false">IF($C64="","",IF(設定!$B$45&lt;=0,0,MIN(100,N($I64)/設定!$B$45*100)))</f>
        <v/>
      </c>
      <c r="S64" s="25" t="str">
        <f aca="false">IF($C64="","",IFERROR(INDEX(設定!$B$27:$B$29,MATCH($J64,設定!$A$27:$A$29,0)),0))</f>
        <v/>
      </c>
      <c r="T64" s="25" t="str">
        <f aca="false">IF($C64="","",IFERROR(INDEX(設定!$B$32:$B$35,MATCH($K64,設定!$A$32:$A$35,0)),0))</f>
        <v/>
      </c>
      <c r="U64" s="25" t="str">
        <f aca="false">IF($C64="","",IF(N($L64)&lt;1,0,MIN(100,LOG10($L64+1)/LOG10(設定!$B$44+1)*100)))</f>
        <v/>
      </c>
      <c r="V64" s="25" t="str">
        <f aca="false">IF($C64="","",IF(設定!$B$11=0,0,(O64*設定!$B$4+P64*設定!$B$5+Q64*設定!$B$6+R64*設定!$B$7+S64*設定!$B$8+T64*設定!$B$9+U64*設定!$B$10)/設定!$B$11))</f>
        <v/>
      </c>
      <c r="W64" s="25" t="str">
        <f aca="false">IF($C64="","",IFERROR(INDEX(設定!$B$38:$B$40,MATCH($M64,設定!$A$38:$A$40,0)),1))</f>
        <v/>
      </c>
      <c r="X64" s="26" t="str">
        <f aca="false">IF($C64="","",ROUND(V64*W64,1))</f>
        <v/>
      </c>
      <c r="Y64" s="27" t="str">
        <f aca="false">IF($C64="","",INDEX(設定!$B$49:$B$53,MATCH(X64,設定!$A$49:$A$53,1)))</f>
        <v/>
      </c>
    </row>
    <row r="65" customFormat="false" ht="15" hidden="false" customHeight="false" outlineLevel="0" collapsed="false">
      <c r="A65" s="23" t="n">
        <v>61</v>
      </c>
      <c r="B65" s="24"/>
      <c r="C65" s="9"/>
      <c r="D65" s="9"/>
      <c r="E65" s="15"/>
      <c r="F65" s="9"/>
      <c r="G65" s="17"/>
      <c r="H65" s="9"/>
      <c r="I65" s="9"/>
      <c r="J65" s="9"/>
      <c r="K65" s="9"/>
      <c r="L65" s="17"/>
      <c r="M65" s="9"/>
      <c r="N65" s="9"/>
      <c r="O65" s="25" t="str">
        <f aca="false">IF($C65="","",IFERROR(INDEX(設定!$B$14:$B$18,MATCH($E65,設定!$A$14:$A$18,0)),0))</f>
        <v/>
      </c>
      <c r="P65" s="25" t="str">
        <f aca="false">IF($C65="","",IF(N($G65)&lt;=1,0,MIN(100,LOG10($G65)/LOG10(設定!$B$43)*100)))</f>
        <v/>
      </c>
      <c r="Q65" s="25" t="str">
        <f aca="false">IF($C65="","",IFERROR(INDEX(設定!$B$21:$B$24,MATCH($H65,設定!$A$21:$A$24,0)),0))</f>
        <v/>
      </c>
      <c r="R65" s="25" t="str">
        <f aca="false">IF($C65="","",IF(設定!$B$45&lt;=0,0,MIN(100,N($I65)/設定!$B$45*100)))</f>
        <v/>
      </c>
      <c r="S65" s="25" t="str">
        <f aca="false">IF($C65="","",IFERROR(INDEX(設定!$B$27:$B$29,MATCH($J65,設定!$A$27:$A$29,0)),0))</f>
        <v/>
      </c>
      <c r="T65" s="25" t="str">
        <f aca="false">IF($C65="","",IFERROR(INDEX(設定!$B$32:$B$35,MATCH($K65,設定!$A$32:$A$35,0)),0))</f>
        <v/>
      </c>
      <c r="U65" s="25" t="str">
        <f aca="false">IF($C65="","",IF(N($L65)&lt;1,0,MIN(100,LOG10($L65+1)/LOG10(設定!$B$44+1)*100)))</f>
        <v/>
      </c>
      <c r="V65" s="25" t="str">
        <f aca="false">IF($C65="","",IF(設定!$B$11=0,0,(O65*設定!$B$4+P65*設定!$B$5+Q65*設定!$B$6+R65*設定!$B$7+S65*設定!$B$8+T65*設定!$B$9+U65*設定!$B$10)/設定!$B$11))</f>
        <v/>
      </c>
      <c r="W65" s="25" t="str">
        <f aca="false">IF($C65="","",IFERROR(INDEX(設定!$B$38:$B$40,MATCH($M65,設定!$A$38:$A$40,0)),1))</f>
        <v/>
      </c>
      <c r="X65" s="26" t="str">
        <f aca="false">IF($C65="","",ROUND(V65*W65,1))</f>
        <v/>
      </c>
      <c r="Y65" s="27" t="str">
        <f aca="false">IF($C65="","",INDEX(設定!$B$49:$B$53,MATCH(X65,設定!$A$49:$A$53,1)))</f>
        <v/>
      </c>
    </row>
    <row r="66" customFormat="false" ht="15" hidden="false" customHeight="false" outlineLevel="0" collapsed="false">
      <c r="A66" s="23" t="n">
        <v>62</v>
      </c>
      <c r="B66" s="24"/>
      <c r="C66" s="9"/>
      <c r="D66" s="9"/>
      <c r="E66" s="15"/>
      <c r="F66" s="9"/>
      <c r="G66" s="17"/>
      <c r="H66" s="9"/>
      <c r="I66" s="9"/>
      <c r="J66" s="9"/>
      <c r="K66" s="9"/>
      <c r="L66" s="17"/>
      <c r="M66" s="9"/>
      <c r="N66" s="9"/>
      <c r="O66" s="25" t="str">
        <f aca="false">IF($C66="","",IFERROR(INDEX(設定!$B$14:$B$18,MATCH($E66,設定!$A$14:$A$18,0)),0))</f>
        <v/>
      </c>
      <c r="P66" s="25" t="str">
        <f aca="false">IF($C66="","",IF(N($G66)&lt;=1,0,MIN(100,LOG10($G66)/LOG10(設定!$B$43)*100)))</f>
        <v/>
      </c>
      <c r="Q66" s="25" t="str">
        <f aca="false">IF($C66="","",IFERROR(INDEX(設定!$B$21:$B$24,MATCH($H66,設定!$A$21:$A$24,0)),0))</f>
        <v/>
      </c>
      <c r="R66" s="25" t="str">
        <f aca="false">IF($C66="","",IF(設定!$B$45&lt;=0,0,MIN(100,N($I66)/設定!$B$45*100)))</f>
        <v/>
      </c>
      <c r="S66" s="25" t="str">
        <f aca="false">IF($C66="","",IFERROR(INDEX(設定!$B$27:$B$29,MATCH($J66,設定!$A$27:$A$29,0)),0))</f>
        <v/>
      </c>
      <c r="T66" s="25" t="str">
        <f aca="false">IF($C66="","",IFERROR(INDEX(設定!$B$32:$B$35,MATCH($K66,設定!$A$32:$A$35,0)),0))</f>
        <v/>
      </c>
      <c r="U66" s="25" t="str">
        <f aca="false">IF($C66="","",IF(N($L66)&lt;1,0,MIN(100,LOG10($L66+1)/LOG10(設定!$B$44+1)*100)))</f>
        <v/>
      </c>
      <c r="V66" s="25" t="str">
        <f aca="false">IF($C66="","",IF(設定!$B$11=0,0,(O66*設定!$B$4+P66*設定!$B$5+Q66*設定!$B$6+R66*設定!$B$7+S66*設定!$B$8+T66*設定!$B$9+U66*設定!$B$10)/設定!$B$11))</f>
        <v/>
      </c>
      <c r="W66" s="25" t="str">
        <f aca="false">IF($C66="","",IFERROR(INDEX(設定!$B$38:$B$40,MATCH($M66,設定!$A$38:$A$40,0)),1))</f>
        <v/>
      </c>
      <c r="X66" s="26" t="str">
        <f aca="false">IF($C66="","",ROUND(V66*W66,1))</f>
        <v/>
      </c>
      <c r="Y66" s="27" t="str">
        <f aca="false">IF($C66="","",INDEX(設定!$B$49:$B$53,MATCH(X66,設定!$A$49:$A$53,1)))</f>
        <v/>
      </c>
    </row>
    <row r="67" customFormat="false" ht="15" hidden="false" customHeight="false" outlineLevel="0" collapsed="false">
      <c r="A67" s="23" t="n">
        <v>63</v>
      </c>
      <c r="B67" s="24"/>
      <c r="C67" s="9"/>
      <c r="D67" s="9"/>
      <c r="E67" s="15"/>
      <c r="F67" s="9"/>
      <c r="G67" s="17"/>
      <c r="H67" s="9"/>
      <c r="I67" s="9"/>
      <c r="J67" s="9"/>
      <c r="K67" s="9"/>
      <c r="L67" s="17"/>
      <c r="M67" s="9"/>
      <c r="N67" s="9"/>
      <c r="O67" s="25" t="str">
        <f aca="false">IF($C67="","",IFERROR(INDEX(設定!$B$14:$B$18,MATCH($E67,設定!$A$14:$A$18,0)),0))</f>
        <v/>
      </c>
      <c r="P67" s="25" t="str">
        <f aca="false">IF($C67="","",IF(N($G67)&lt;=1,0,MIN(100,LOG10($G67)/LOG10(設定!$B$43)*100)))</f>
        <v/>
      </c>
      <c r="Q67" s="25" t="str">
        <f aca="false">IF($C67="","",IFERROR(INDEX(設定!$B$21:$B$24,MATCH($H67,設定!$A$21:$A$24,0)),0))</f>
        <v/>
      </c>
      <c r="R67" s="25" t="str">
        <f aca="false">IF($C67="","",IF(設定!$B$45&lt;=0,0,MIN(100,N($I67)/設定!$B$45*100)))</f>
        <v/>
      </c>
      <c r="S67" s="25" t="str">
        <f aca="false">IF($C67="","",IFERROR(INDEX(設定!$B$27:$B$29,MATCH($J67,設定!$A$27:$A$29,0)),0))</f>
        <v/>
      </c>
      <c r="T67" s="25" t="str">
        <f aca="false">IF($C67="","",IFERROR(INDEX(設定!$B$32:$B$35,MATCH($K67,設定!$A$32:$A$35,0)),0))</f>
        <v/>
      </c>
      <c r="U67" s="25" t="str">
        <f aca="false">IF($C67="","",IF(N($L67)&lt;1,0,MIN(100,LOG10($L67+1)/LOG10(設定!$B$44+1)*100)))</f>
        <v/>
      </c>
      <c r="V67" s="25" t="str">
        <f aca="false">IF($C67="","",IF(設定!$B$11=0,0,(O67*設定!$B$4+P67*設定!$B$5+Q67*設定!$B$6+R67*設定!$B$7+S67*設定!$B$8+T67*設定!$B$9+U67*設定!$B$10)/設定!$B$11))</f>
        <v/>
      </c>
      <c r="W67" s="25" t="str">
        <f aca="false">IF($C67="","",IFERROR(INDEX(設定!$B$38:$B$40,MATCH($M67,設定!$A$38:$A$40,0)),1))</f>
        <v/>
      </c>
      <c r="X67" s="26" t="str">
        <f aca="false">IF($C67="","",ROUND(V67*W67,1))</f>
        <v/>
      </c>
      <c r="Y67" s="27" t="str">
        <f aca="false">IF($C67="","",INDEX(設定!$B$49:$B$53,MATCH(X67,設定!$A$49:$A$53,1)))</f>
        <v/>
      </c>
    </row>
    <row r="68" customFormat="false" ht="15" hidden="false" customHeight="false" outlineLevel="0" collapsed="false">
      <c r="A68" s="23" t="n">
        <v>64</v>
      </c>
      <c r="B68" s="24"/>
      <c r="C68" s="9"/>
      <c r="D68" s="9"/>
      <c r="E68" s="15"/>
      <c r="F68" s="9"/>
      <c r="G68" s="17"/>
      <c r="H68" s="9"/>
      <c r="I68" s="9"/>
      <c r="J68" s="9"/>
      <c r="K68" s="9"/>
      <c r="L68" s="17"/>
      <c r="M68" s="9"/>
      <c r="N68" s="9"/>
      <c r="O68" s="25" t="str">
        <f aca="false">IF($C68="","",IFERROR(INDEX(設定!$B$14:$B$18,MATCH($E68,設定!$A$14:$A$18,0)),0))</f>
        <v/>
      </c>
      <c r="P68" s="25" t="str">
        <f aca="false">IF($C68="","",IF(N($G68)&lt;=1,0,MIN(100,LOG10($G68)/LOG10(設定!$B$43)*100)))</f>
        <v/>
      </c>
      <c r="Q68" s="25" t="str">
        <f aca="false">IF($C68="","",IFERROR(INDEX(設定!$B$21:$B$24,MATCH($H68,設定!$A$21:$A$24,0)),0))</f>
        <v/>
      </c>
      <c r="R68" s="25" t="str">
        <f aca="false">IF($C68="","",IF(設定!$B$45&lt;=0,0,MIN(100,N($I68)/設定!$B$45*100)))</f>
        <v/>
      </c>
      <c r="S68" s="25" t="str">
        <f aca="false">IF($C68="","",IFERROR(INDEX(設定!$B$27:$B$29,MATCH($J68,設定!$A$27:$A$29,0)),0))</f>
        <v/>
      </c>
      <c r="T68" s="25" t="str">
        <f aca="false">IF($C68="","",IFERROR(INDEX(設定!$B$32:$B$35,MATCH($K68,設定!$A$32:$A$35,0)),0))</f>
        <v/>
      </c>
      <c r="U68" s="25" t="str">
        <f aca="false">IF($C68="","",IF(N($L68)&lt;1,0,MIN(100,LOG10($L68+1)/LOG10(設定!$B$44+1)*100)))</f>
        <v/>
      </c>
      <c r="V68" s="25" t="str">
        <f aca="false">IF($C68="","",IF(設定!$B$11=0,0,(O68*設定!$B$4+P68*設定!$B$5+Q68*設定!$B$6+R68*設定!$B$7+S68*設定!$B$8+T68*設定!$B$9+U68*設定!$B$10)/設定!$B$11))</f>
        <v/>
      </c>
      <c r="W68" s="25" t="str">
        <f aca="false">IF($C68="","",IFERROR(INDEX(設定!$B$38:$B$40,MATCH($M68,設定!$A$38:$A$40,0)),1))</f>
        <v/>
      </c>
      <c r="X68" s="26" t="str">
        <f aca="false">IF($C68="","",ROUND(V68*W68,1))</f>
        <v/>
      </c>
      <c r="Y68" s="27" t="str">
        <f aca="false">IF($C68="","",INDEX(設定!$B$49:$B$53,MATCH(X68,設定!$A$49:$A$53,1)))</f>
        <v/>
      </c>
    </row>
    <row r="69" customFormat="false" ht="15" hidden="false" customHeight="false" outlineLevel="0" collapsed="false">
      <c r="A69" s="23" t="n">
        <v>65</v>
      </c>
      <c r="B69" s="24"/>
      <c r="C69" s="9"/>
      <c r="D69" s="9"/>
      <c r="E69" s="15"/>
      <c r="F69" s="9"/>
      <c r="G69" s="17"/>
      <c r="H69" s="9"/>
      <c r="I69" s="9"/>
      <c r="J69" s="9"/>
      <c r="K69" s="9"/>
      <c r="L69" s="17"/>
      <c r="M69" s="9"/>
      <c r="N69" s="9"/>
      <c r="O69" s="25" t="str">
        <f aca="false">IF($C69="","",IFERROR(INDEX(設定!$B$14:$B$18,MATCH($E69,設定!$A$14:$A$18,0)),0))</f>
        <v/>
      </c>
      <c r="P69" s="25" t="str">
        <f aca="false">IF($C69="","",IF(N($G69)&lt;=1,0,MIN(100,LOG10($G69)/LOG10(設定!$B$43)*100)))</f>
        <v/>
      </c>
      <c r="Q69" s="25" t="str">
        <f aca="false">IF($C69="","",IFERROR(INDEX(設定!$B$21:$B$24,MATCH($H69,設定!$A$21:$A$24,0)),0))</f>
        <v/>
      </c>
      <c r="R69" s="25" t="str">
        <f aca="false">IF($C69="","",IF(設定!$B$45&lt;=0,0,MIN(100,N($I69)/設定!$B$45*100)))</f>
        <v/>
      </c>
      <c r="S69" s="25" t="str">
        <f aca="false">IF($C69="","",IFERROR(INDEX(設定!$B$27:$B$29,MATCH($J69,設定!$A$27:$A$29,0)),0))</f>
        <v/>
      </c>
      <c r="T69" s="25" t="str">
        <f aca="false">IF($C69="","",IFERROR(INDEX(設定!$B$32:$B$35,MATCH($K69,設定!$A$32:$A$35,0)),0))</f>
        <v/>
      </c>
      <c r="U69" s="25" t="str">
        <f aca="false">IF($C69="","",IF(N($L69)&lt;1,0,MIN(100,LOG10($L69+1)/LOG10(設定!$B$44+1)*100)))</f>
        <v/>
      </c>
      <c r="V69" s="25" t="str">
        <f aca="false">IF($C69="","",IF(設定!$B$11=0,0,(O69*設定!$B$4+P69*設定!$B$5+Q69*設定!$B$6+R69*設定!$B$7+S69*設定!$B$8+T69*設定!$B$9+U69*設定!$B$10)/設定!$B$11))</f>
        <v/>
      </c>
      <c r="W69" s="25" t="str">
        <f aca="false">IF($C69="","",IFERROR(INDEX(設定!$B$38:$B$40,MATCH($M69,設定!$A$38:$A$40,0)),1))</f>
        <v/>
      </c>
      <c r="X69" s="26" t="str">
        <f aca="false">IF($C69="","",ROUND(V69*W69,1))</f>
        <v/>
      </c>
      <c r="Y69" s="27" t="str">
        <f aca="false">IF($C69="","",INDEX(設定!$B$49:$B$53,MATCH(X69,設定!$A$49:$A$53,1)))</f>
        <v/>
      </c>
    </row>
    <row r="70" customFormat="false" ht="15" hidden="false" customHeight="false" outlineLevel="0" collapsed="false">
      <c r="A70" s="23" t="n">
        <v>66</v>
      </c>
      <c r="B70" s="24"/>
      <c r="C70" s="9"/>
      <c r="D70" s="9"/>
      <c r="E70" s="15"/>
      <c r="F70" s="9"/>
      <c r="G70" s="17"/>
      <c r="H70" s="9"/>
      <c r="I70" s="9"/>
      <c r="J70" s="9"/>
      <c r="K70" s="9"/>
      <c r="L70" s="17"/>
      <c r="M70" s="9"/>
      <c r="N70" s="9"/>
      <c r="O70" s="25" t="str">
        <f aca="false">IF($C70="","",IFERROR(INDEX(設定!$B$14:$B$18,MATCH($E70,設定!$A$14:$A$18,0)),0))</f>
        <v/>
      </c>
      <c r="P70" s="25" t="str">
        <f aca="false">IF($C70="","",IF(N($G70)&lt;=1,0,MIN(100,LOG10($G70)/LOG10(設定!$B$43)*100)))</f>
        <v/>
      </c>
      <c r="Q70" s="25" t="str">
        <f aca="false">IF($C70="","",IFERROR(INDEX(設定!$B$21:$B$24,MATCH($H70,設定!$A$21:$A$24,0)),0))</f>
        <v/>
      </c>
      <c r="R70" s="25" t="str">
        <f aca="false">IF($C70="","",IF(設定!$B$45&lt;=0,0,MIN(100,N($I70)/設定!$B$45*100)))</f>
        <v/>
      </c>
      <c r="S70" s="25" t="str">
        <f aca="false">IF($C70="","",IFERROR(INDEX(設定!$B$27:$B$29,MATCH($J70,設定!$A$27:$A$29,0)),0))</f>
        <v/>
      </c>
      <c r="T70" s="25" t="str">
        <f aca="false">IF($C70="","",IFERROR(INDEX(設定!$B$32:$B$35,MATCH($K70,設定!$A$32:$A$35,0)),0))</f>
        <v/>
      </c>
      <c r="U70" s="25" t="str">
        <f aca="false">IF($C70="","",IF(N($L70)&lt;1,0,MIN(100,LOG10($L70+1)/LOG10(設定!$B$44+1)*100)))</f>
        <v/>
      </c>
      <c r="V70" s="25" t="str">
        <f aca="false">IF($C70="","",IF(設定!$B$11=0,0,(O70*設定!$B$4+P70*設定!$B$5+Q70*設定!$B$6+R70*設定!$B$7+S70*設定!$B$8+T70*設定!$B$9+U70*設定!$B$10)/設定!$B$11))</f>
        <v/>
      </c>
      <c r="W70" s="25" t="str">
        <f aca="false">IF($C70="","",IFERROR(INDEX(設定!$B$38:$B$40,MATCH($M70,設定!$A$38:$A$40,0)),1))</f>
        <v/>
      </c>
      <c r="X70" s="26" t="str">
        <f aca="false">IF($C70="","",ROUND(V70*W70,1))</f>
        <v/>
      </c>
      <c r="Y70" s="27" t="str">
        <f aca="false">IF($C70="","",INDEX(設定!$B$49:$B$53,MATCH(X70,設定!$A$49:$A$53,1)))</f>
        <v/>
      </c>
    </row>
    <row r="71" customFormat="false" ht="15" hidden="false" customHeight="false" outlineLevel="0" collapsed="false">
      <c r="A71" s="23" t="n">
        <v>67</v>
      </c>
      <c r="B71" s="24"/>
      <c r="C71" s="9"/>
      <c r="D71" s="9"/>
      <c r="E71" s="15"/>
      <c r="F71" s="9"/>
      <c r="G71" s="17"/>
      <c r="H71" s="9"/>
      <c r="I71" s="9"/>
      <c r="J71" s="9"/>
      <c r="K71" s="9"/>
      <c r="L71" s="17"/>
      <c r="M71" s="9"/>
      <c r="N71" s="9"/>
      <c r="O71" s="25" t="str">
        <f aca="false">IF($C71="","",IFERROR(INDEX(設定!$B$14:$B$18,MATCH($E71,設定!$A$14:$A$18,0)),0))</f>
        <v/>
      </c>
      <c r="P71" s="25" t="str">
        <f aca="false">IF($C71="","",IF(N($G71)&lt;=1,0,MIN(100,LOG10($G71)/LOG10(設定!$B$43)*100)))</f>
        <v/>
      </c>
      <c r="Q71" s="25" t="str">
        <f aca="false">IF($C71="","",IFERROR(INDEX(設定!$B$21:$B$24,MATCH($H71,設定!$A$21:$A$24,0)),0))</f>
        <v/>
      </c>
      <c r="R71" s="25" t="str">
        <f aca="false">IF($C71="","",IF(設定!$B$45&lt;=0,0,MIN(100,N($I71)/設定!$B$45*100)))</f>
        <v/>
      </c>
      <c r="S71" s="25" t="str">
        <f aca="false">IF($C71="","",IFERROR(INDEX(設定!$B$27:$B$29,MATCH($J71,設定!$A$27:$A$29,0)),0))</f>
        <v/>
      </c>
      <c r="T71" s="25" t="str">
        <f aca="false">IF($C71="","",IFERROR(INDEX(設定!$B$32:$B$35,MATCH($K71,設定!$A$32:$A$35,0)),0))</f>
        <v/>
      </c>
      <c r="U71" s="25" t="str">
        <f aca="false">IF($C71="","",IF(N($L71)&lt;1,0,MIN(100,LOG10($L71+1)/LOG10(設定!$B$44+1)*100)))</f>
        <v/>
      </c>
      <c r="V71" s="25" t="str">
        <f aca="false">IF($C71="","",IF(設定!$B$11=0,0,(O71*設定!$B$4+P71*設定!$B$5+Q71*設定!$B$6+R71*設定!$B$7+S71*設定!$B$8+T71*設定!$B$9+U71*設定!$B$10)/設定!$B$11))</f>
        <v/>
      </c>
      <c r="W71" s="25" t="str">
        <f aca="false">IF($C71="","",IFERROR(INDEX(設定!$B$38:$B$40,MATCH($M71,設定!$A$38:$A$40,0)),1))</f>
        <v/>
      </c>
      <c r="X71" s="26" t="str">
        <f aca="false">IF($C71="","",ROUND(V71*W71,1))</f>
        <v/>
      </c>
      <c r="Y71" s="27" t="str">
        <f aca="false">IF($C71="","",INDEX(設定!$B$49:$B$53,MATCH(X71,設定!$A$49:$A$53,1)))</f>
        <v/>
      </c>
    </row>
    <row r="72" customFormat="false" ht="15" hidden="false" customHeight="false" outlineLevel="0" collapsed="false">
      <c r="A72" s="23" t="n">
        <v>68</v>
      </c>
      <c r="B72" s="24"/>
      <c r="C72" s="9"/>
      <c r="D72" s="9"/>
      <c r="E72" s="15"/>
      <c r="F72" s="9"/>
      <c r="G72" s="17"/>
      <c r="H72" s="9"/>
      <c r="I72" s="9"/>
      <c r="J72" s="9"/>
      <c r="K72" s="9"/>
      <c r="L72" s="17"/>
      <c r="M72" s="9"/>
      <c r="N72" s="9"/>
      <c r="O72" s="25" t="str">
        <f aca="false">IF($C72="","",IFERROR(INDEX(設定!$B$14:$B$18,MATCH($E72,設定!$A$14:$A$18,0)),0))</f>
        <v/>
      </c>
      <c r="P72" s="25" t="str">
        <f aca="false">IF($C72="","",IF(N($G72)&lt;=1,0,MIN(100,LOG10($G72)/LOG10(設定!$B$43)*100)))</f>
        <v/>
      </c>
      <c r="Q72" s="25" t="str">
        <f aca="false">IF($C72="","",IFERROR(INDEX(設定!$B$21:$B$24,MATCH($H72,設定!$A$21:$A$24,0)),0))</f>
        <v/>
      </c>
      <c r="R72" s="25" t="str">
        <f aca="false">IF($C72="","",IF(設定!$B$45&lt;=0,0,MIN(100,N($I72)/設定!$B$45*100)))</f>
        <v/>
      </c>
      <c r="S72" s="25" t="str">
        <f aca="false">IF($C72="","",IFERROR(INDEX(設定!$B$27:$B$29,MATCH($J72,設定!$A$27:$A$29,0)),0))</f>
        <v/>
      </c>
      <c r="T72" s="25" t="str">
        <f aca="false">IF($C72="","",IFERROR(INDEX(設定!$B$32:$B$35,MATCH($K72,設定!$A$32:$A$35,0)),0))</f>
        <v/>
      </c>
      <c r="U72" s="25" t="str">
        <f aca="false">IF($C72="","",IF(N($L72)&lt;1,0,MIN(100,LOG10($L72+1)/LOG10(設定!$B$44+1)*100)))</f>
        <v/>
      </c>
      <c r="V72" s="25" t="str">
        <f aca="false">IF($C72="","",IF(設定!$B$11=0,0,(O72*設定!$B$4+P72*設定!$B$5+Q72*設定!$B$6+R72*設定!$B$7+S72*設定!$B$8+T72*設定!$B$9+U72*設定!$B$10)/設定!$B$11))</f>
        <v/>
      </c>
      <c r="W72" s="25" t="str">
        <f aca="false">IF($C72="","",IFERROR(INDEX(設定!$B$38:$B$40,MATCH($M72,設定!$A$38:$A$40,0)),1))</f>
        <v/>
      </c>
      <c r="X72" s="26" t="str">
        <f aca="false">IF($C72="","",ROUND(V72*W72,1))</f>
        <v/>
      </c>
      <c r="Y72" s="27" t="str">
        <f aca="false">IF($C72="","",INDEX(設定!$B$49:$B$53,MATCH(X72,設定!$A$49:$A$53,1)))</f>
        <v/>
      </c>
    </row>
    <row r="73" customFormat="false" ht="15" hidden="false" customHeight="false" outlineLevel="0" collapsed="false">
      <c r="A73" s="23" t="n">
        <v>69</v>
      </c>
      <c r="B73" s="24"/>
      <c r="C73" s="9"/>
      <c r="D73" s="9"/>
      <c r="E73" s="15"/>
      <c r="F73" s="9"/>
      <c r="G73" s="17"/>
      <c r="H73" s="9"/>
      <c r="I73" s="9"/>
      <c r="J73" s="9"/>
      <c r="K73" s="9"/>
      <c r="L73" s="17"/>
      <c r="M73" s="9"/>
      <c r="N73" s="9"/>
      <c r="O73" s="25" t="str">
        <f aca="false">IF($C73="","",IFERROR(INDEX(設定!$B$14:$B$18,MATCH($E73,設定!$A$14:$A$18,0)),0))</f>
        <v/>
      </c>
      <c r="P73" s="25" t="str">
        <f aca="false">IF($C73="","",IF(N($G73)&lt;=1,0,MIN(100,LOG10($G73)/LOG10(設定!$B$43)*100)))</f>
        <v/>
      </c>
      <c r="Q73" s="25" t="str">
        <f aca="false">IF($C73="","",IFERROR(INDEX(設定!$B$21:$B$24,MATCH($H73,設定!$A$21:$A$24,0)),0))</f>
        <v/>
      </c>
      <c r="R73" s="25" t="str">
        <f aca="false">IF($C73="","",IF(設定!$B$45&lt;=0,0,MIN(100,N($I73)/設定!$B$45*100)))</f>
        <v/>
      </c>
      <c r="S73" s="25" t="str">
        <f aca="false">IF($C73="","",IFERROR(INDEX(設定!$B$27:$B$29,MATCH($J73,設定!$A$27:$A$29,0)),0))</f>
        <v/>
      </c>
      <c r="T73" s="25" t="str">
        <f aca="false">IF($C73="","",IFERROR(INDEX(設定!$B$32:$B$35,MATCH($K73,設定!$A$32:$A$35,0)),0))</f>
        <v/>
      </c>
      <c r="U73" s="25" t="str">
        <f aca="false">IF($C73="","",IF(N($L73)&lt;1,0,MIN(100,LOG10($L73+1)/LOG10(設定!$B$44+1)*100)))</f>
        <v/>
      </c>
      <c r="V73" s="25" t="str">
        <f aca="false">IF($C73="","",IF(設定!$B$11=0,0,(O73*設定!$B$4+P73*設定!$B$5+Q73*設定!$B$6+R73*設定!$B$7+S73*設定!$B$8+T73*設定!$B$9+U73*設定!$B$10)/設定!$B$11))</f>
        <v/>
      </c>
      <c r="W73" s="25" t="str">
        <f aca="false">IF($C73="","",IFERROR(INDEX(設定!$B$38:$B$40,MATCH($M73,設定!$A$38:$A$40,0)),1))</f>
        <v/>
      </c>
      <c r="X73" s="26" t="str">
        <f aca="false">IF($C73="","",ROUND(V73*W73,1))</f>
        <v/>
      </c>
      <c r="Y73" s="27" t="str">
        <f aca="false">IF($C73="","",INDEX(設定!$B$49:$B$53,MATCH(X73,設定!$A$49:$A$53,1)))</f>
        <v/>
      </c>
    </row>
    <row r="74" customFormat="false" ht="15" hidden="false" customHeight="false" outlineLevel="0" collapsed="false">
      <c r="A74" s="23" t="n">
        <v>70</v>
      </c>
      <c r="B74" s="24"/>
      <c r="C74" s="9"/>
      <c r="D74" s="9"/>
      <c r="E74" s="15"/>
      <c r="F74" s="9"/>
      <c r="G74" s="17"/>
      <c r="H74" s="9"/>
      <c r="I74" s="9"/>
      <c r="J74" s="9"/>
      <c r="K74" s="9"/>
      <c r="L74" s="17"/>
      <c r="M74" s="9"/>
      <c r="N74" s="9"/>
      <c r="O74" s="25" t="str">
        <f aca="false">IF($C74="","",IFERROR(INDEX(設定!$B$14:$B$18,MATCH($E74,設定!$A$14:$A$18,0)),0))</f>
        <v/>
      </c>
      <c r="P74" s="25" t="str">
        <f aca="false">IF($C74="","",IF(N($G74)&lt;=1,0,MIN(100,LOG10($G74)/LOG10(設定!$B$43)*100)))</f>
        <v/>
      </c>
      <c r="Q74" s="25" t="str">
        <f aca="false">IF($C74="","",IFERROR(INDEX(設定!$B$21:$B$24,MATCH($H74,設定!$A$21:$A$24,0)),0))</f>
        <v/>
      </c>
      <c r="R74" s="25" t="str">
        <f aca="false">IF($C74="","",IF(設定!$B$45&lt;=0,0,MIN(100,N($I74)/設定!$B$45*100)))</f>
        <v/>
      </c>
      <c r="S74" s="25" t="str">
        <f aca="false">IF($C74="","",IFERROR(INDEX(設定!$B$27:$B$29,MATCH($J74,設定!$A$27:$A$29,0)),0))</f>
        <v/>
      </c>
      <c r="T74" s="25" t="str">
        <f aca="false">IF($C74="","",IFERROR(INDEX(設定!$B$32:$B$35,MATCH($K74,設定!$A$32:$A$35,0)),0))</f>
        <v/>
      </c>
      <c r="U74" s="25" t="str">
        <f aca="false">IF($C74="","",IF(N($L74)&lt;1,0,MIN(100,LOG10($L74+1)/LOG10(設定!$B$44+1)*100)))</f>
        <v/>
      </c>
      <c r="V74" s="25" t="str">
        <f aca="false">IF($C74="","",IF(設定!$B$11=0,0,(O74*設定!$B$4+P74*設定!$B$5+Q74*設定!$B$6+R74*設定!$B$7+S74*設定!$B$8+T74*設定!$B$9+U74*設定!$B$10)/設定!$B$11))</f>
        <v/>
      </c>
      <c r="W74" s="25" t="str">
        <f aca="false">IF($C74="","",IFERROR(INDEX(設定!$B$38:$B$40,MATCH($M74,設定!$A$38:$A$40,0)),1))</f>
        <v/>
      </c>
      <c r="X74" s="26" t="str">
        <f aca="false">IF($C74="","",ROUND(V74*W74,1))</f>
        <v/>
      </c>
      <c r="Y74" s="27" t="str">
        <f aca="false">IF($C74="","",INDEX(設定!$B$49:$B$53,MATCH(X74,設定!$A$49:$A$53,1)))</f>
        <v/>
      </c>
    </row>
    <row r="75" customFormat="false" ht="15" hidden="false" customHeight="false" outlineLevel="0" collapsed="false">
      <c r="A75" s="23" t="n">
        <v>71</v>
      </c>
      <c r="B75" s="24"/>
      <c r="C75" s="9"/>
      <c r="D75" s="9"/>
      <c r="E75" s="15"/>
      <c r="F75" s="9"/>
      <c r="G75" s="17"/>
      <c r="H75" s="9"/>
      <c r="I75" s="9"/>
      <c r="J75" s="9"/>
      <c r="K75" s="9"/>
      <c r="L75" s="17"/>
      <c r="M75" s="9"/>
      <c r="N75" s="9"/>
      <c r="O75" s="25" t="str">
        <f aca="false">IF($C75="","",IFERROR(INDEX(設定!$B$14:$B$18,MATCH($E75,設定!$A$14:$A$18,0)),0))</f>
        <v/>
      </c>
      <c r="P75" s="25" t="str">
        <f aca="false">IF($C75="","",IF(N($G75)&lt;=1,0,MIN(100,LOG10($G75)/LOG10(設定!$B$43)*100)))</f>
        <v/>
      </c>
      <c r="Q75" s="25" t="str">
        <f aca="false">IF($C75="","",IFERROR(INDEX(設定!$B$21:$B$24,MATCH($H75,設定!$A$21:$A$24,0)),0))</f>
        <v/>
      </c>
      <c r="R75" s="25" t="str">
        <f aca="false">IF($C75="","",IF(設定!$B$45&lt;=0,0,MIN(100,N($I75)/設定!$B$45*100)))</f>
        <v/>
      </c>
      <c r="S75" s="25" t="str">
        <f aca="false">IF($C75="","",IFERROR(INDEX(設定!$B$27:$B$29,MATCH($J75,設定!$A$27:$A$29,0)),0))</f>
        <v/>
      </c>
      <c r="T75" s="25" t="str">
        <f aca="false">IF($C75="","",IFERROR(INDEX(設定!$B$32:$B$35,MATCH($K75,設定!$A$32:$A$35,0)),0))</f>
        <v/>
      </c>
      <c r="U75" s="25" t="str">
        <f aca="false">IF($C75="","",IF(N($L75)&lt;1,0,MIN(100,LOG10($L75+1)/LOG10(設定!$B$44+1)*100)))</f>
        <v/>
      </c>
      <c r="V75" s="25" t="str">
        <f aca="false">IF($C75="","",IF(設定!$B$11=0,0,(O75*設定!$B$4+P75*設定!$B$5+Q75*設定!$B$6+R75*設定!$B$7+S75*設定!$B$8+T75*設定!$B$9+U75*設定!$B$10)/設定!$B$11))</f>
        <v/>
      </c>
      <c r="W75" s="25" t="str">
        <f aca="false">IF($C75="","",IFERROR(INDEX(設定!$B$38:$B$40,MATCH($M75,設定!$A$38:$A$40,0)),1))</f>
        <v/>
      </c>
      <c r="X75" s="26" t="str">
        <f aca="false">IF($C75="","",ROUND(V75*W75,1))</f>
        <v/>
      </c>
      <c r="Y75" s="27" t="str">
        <f aca="false">IF($C75="","",INDEX(設定!$B$49:$B$53,MATCH(X75,設定!$A$49:$A$53,1)))</f>
        <v/>
      </c>
    </row>
    <row r="76" customFormat="false" ht="15" hidden="false" customHeight="false" outlineLevel="0" collapsed="false">
      <c r="A76" s="23" t="n">
        <v>72</v>
      </c>
      <c r="B76" s="24"/>
      <c r="C76" s="9"/>
      <c r="D76" s="9"/>
      <c r="E76" s="15"/>
      <c r="F76" s="9"/>
      <c r="G76" s="17"/>
      <c r="H76" s="9"/>
      <c r="I76" s="9"/>
      <c r="J76" s="9"/>
      <c r="K76" s="9"/>
      <c r="L76" s="17"/>
      <c r="M76" s="9"/>
      <c r="N76" s="9"/>
      <c r="O76" s="25" t="str">
        <f aca="false">IF($C76="","",IFERROR(INDEX(設定!$B$14:$B$18,MATCH($E76,設定!$A$14:$A$18,0)),0))</f>
        <v/>
      </c>
      <c r="P76" s="25" t="str">
        <f aca="false">IF($C76="","",IF(N($G76)&lt;=1,0,MIN(100,LOG10($G76)/LOG10(設定!$B$43)*100)))</f>
        <v/>
      </c>
      <c r="Q76" s="25" t="str">
        <f aca="false">IF($C76="","",IFERROR(INDEX(設定!$B$21:$B$24,MATCH($H76,設定!$A$21:$A$24,0)),0))</f>
        <v/>
      </c>
      <c r="R76" s="25" t="str">
        <f aca="false">IF($C76="","",IF(設定!$B$45&lt;=0,0,MIN(100,N($I76)/設定!$B$45*100)))</f>
        <v/>
      </c>
      <c r="S76" s="25" t="str">
        <f aca="false">IF($C76="","",IFERROR(INDEX(設定!$B$27:$B$29,MATCH($J76,設定!$A$27:$A$29,0)),0))</f>
        <v/>
      </c>
      <c r="T76" s="25" t="str">
        <f aca="false">IF($C76="","",IFERROR(INDEX(設定!$B$32:$B$35,MATCH($K76,設定!$A$32:$A$35,0)),0))</f>
        <v/>
      </c>
      <c r="U76" s="25" t="str">
        <f aca="false">IF($C76="","",IF(N($L76)&lt;1,0,MIN(100,LOG10($L76+1)/LOG10(設定!$B$44+1)*100)))</f>
        <v/>
      </c>
      <c r="V76" s="25" t="str">
        <f aca="false">IF($C76="","",IF(設定!$B$11=0,0,(O76*設定!$B$4+P76*設定!$B$5+Q76*設定!$B$6+R76*設定!$B$7+S76*設定!$B$8+T76*設定!$B$9+U76*設定!$B$10)/設定!$B$11))</f>
        <v/>
      </c>
      <c r="W76" s="25" t="str">
        <f aca="false">IF($C76="","",IFERROR(INDEX(設定!$B$38:$B$40,MATCH($M76,設定!$A$38:$A$40,0)),1))</f>
        <v/>
      </c>
      <c r="X76" s="26" t="str">
        <f aca="false">IF($C76="","",ROUND(V76*W76,1))</f>
        <v/>
      </c>
      <c r="Y76" s="27" t="str">
        <f aca="false">IF($C76="","",INDEX(設定!$B$49:$B$53,MATCH(X76,設定!$A$49:$A$53,1)))</f>
        <v/>
      </c>
    </row>
    <row r="77" customFormat="false" ht="15" hidden="false" customHeight="false" outlineLevel="0" collapsed="false">
      <c r="A77" s="23" t="n">
        <v>73</v>
      </c>
      <c r="B77" s="24"/>
      <c r="C77" s="9"/>
      <c r="D77" s="9"/>
      <c r="E77" s="15"/>
      <c r="F77" s="9"/>
      <c r="G77" s="17"/>
      <c r="H77" s="9"/>
      <c r="I77" s="9"/>
      <c r="J77" s="9"/>
      <c r="K77" s="9"/>
      <c r="L77" s="17"/>
      <c r="M77" s="9"/>
      <c r="N77" s="9"/>
      <c r="O77" s="25" t="str">
        <f aca="false">IF($C77="","",IFERROR(INDEX(設定!$B$14:$B$18,MATCH($E77,設定!$A$14:$A$18,0)),0))</f>
        <v/>
      </c>
      <c r="P77" s="25" t="str">
        <f aca="false">IF($C77="","",IF(N($G77)&lt;=1,0,MIN(100,LOG10($G77)/LOG10(設定!$B$43)*100)))</f>
        <v/>
      </c>
      <c r="Q77" s="25" t="str">
        <f aca="false">IF($C77="","",IFERROR(INDEX(設定!$B$21:$B$24,MATCH($H77,設定!$A$21:$A$24,0)),0))</f>
        <v/>
      </c>
      <c r="R77" s="25" t="str">
        <f aca="false">IF($C77="","",IF(設定!$B$45&lt;=0,0,MIN(100,N($I77)/設定!$B$45*100)))</f>
        <v/>
      </c>
      <c r="S77" s="25" t="str">
        <f aca="false">IF($C77="","",IFERROR(INDEX(設定!$B$27:$B$29,MATCH($J77,設定!$A$27:$A$29,0)),0))</f>
        <v/>
      </c>
      <c r="T77" s="25" t="str">
        <f aca="false">IF($C77="","",IFERROR(INDEX(設定!$B$32:$B$35,MATCH($K77,設定!$A$32:$A$35,0)),0))</f>
        <v/>
      </c>
      <c r="U77" s="25" t="str">
        <f aca="false">IF($C77="","",IF(N($L77)&lt;1,0,MIN(100,LOG10($L77+1)/LOG10(設定!$B$44+1)*100)))</f>
        <v/>
      </c>
      <c r="V77" s="25" t="str">
        <f aca="false">IF($C77="","",IF(設定!$B$11=0,0,(O77*設定!$B$4+P77*設定!$B$5+Q77*設定!$B$6+R77*設定!$B$7+S77*設定!$B$8+T77*設定!$B$9+U77*設定!$B$10)/設定!$B$11))</f>
        <v/>
      </c>
      <c r="W77" s="25" t="str">
        <f aca="false">IF($C77="","",IFERROR(INDEX(設定!$B$38:$B$40,MATCH($M77,設定!$A$38:$A$40,0)),1))</f>
        <v/>
      </c>
      <c r="X77" s="26" t="str">
        <f aca="false">IF($C77="","",ROUND(V77*W77,1))</f>
        <v/>
      </c>
      <c r="Y77" s="27" t="str">
        <f aca="false">IF($C77="","",INDEX(設定!$B$49:$B$53,MATCH(X77,設定!$A$49:$A$53,1)))</f>
        <v/>
      </c>
    </row>
    <row r="78" customFormat="false" ht="15" hidden="false" customHeight="false" outlineLevel="0" collapsed="false">
      <c r="A78" s="23" t="n">
        <v>74</v>
      </c>
      <c r="B78" s="24"/>
      <c r="C78" s="9"/>
      <c r="D78" s="9"/>
      <c r="E78" s="15"/>
      <c r="F78" s="9"/>
      <c r="G78" s="17"/>
      <c r="H78" s="9"/>
      <c r="I78" s="9"/>
      <c r="J78" s="9"/>
      <c r="K78" s="9"/>
      <c r="L78" s="17"/>
      <c r="M78" s="9"/>
      <c r="N78" s="9"/>
      <c r="O78" s="25" t="str">
        <f aca="false">IF($C78="","",IFERROR(INDEX(設定!$B$14:$B$18,MATCH($E78,設定!$A$14:$A$18,0)),0))</f>
        <v/>
      </c>
      <c r="P78" s="25" t="str">
        <f aca="false">IF($C78="","",IF(N($G78)&lt;=1,0,MIN(100,LOG10($G78)/LOG10(設定!$B$43)*100)))</f>
        <v/>
      </c>
      <c r="Q78" s="25" t="str">
        <f aca="false">IF($C78="","",IFERROR(INDEX(設定!$B$21:$B$24,MATCH($H78,設定!$A$21:$A$24,0)),0))</f>
        <v/>
      </c>
      <c r="R78" s="25" t="str">
        <f aca="false">IF($C78="","",IF(設定!$B$45&lt;=0,0,MIN(100,N($I78)/設定!$B$45*100)))</f>
        <v/>
      </c>
      <c r="S78" s="25" t="str">
        <f aca="false">IF($C78="","",IFERROR(INDEX(設定!$B$27:$B$29,MATCH($J78,設定!$A$27:$A$29,0)),0))</f>
        <v/>
      </c>
      <c r="T78" s="25" t="str">
        <f aca="false">IF($C78="","",IFERROR(INDEX(設定!$B$32:$B$35,MATCH($K78,設定!$A$32:$A$35,0)),0))</f>
        <v/>
      </c>
      <c r="U78" s="25" t="str">
        <f aca="false">IF($C78="","",IF(N($L78)&lt;1,0,MIN(100,LOG10($L78+1)/LOG10(設定!$B$44+1)*100)))</f>
        <v/>
      </c>
      <c r="V78" s="25" t="str">
        <f aca="false">IF($C78="","",IF(設定!$B$11=0,0,(O78*設定!$B$4+P78*設定!$B$5+Q78*設定!$B$6+R78*設定!$B$7+S78*設定!$B$8+T78*設定!$B$9+U78*設定!$B$10)/設定!$B$11))</f>
        <v/>
      </c>
      <c r="W78" s="25" t="str">
        <f aca="false">IF($C78="","",IFERROR(INDEX(設定!$B$38:$B$40,MATCH($M78,設定!$A$38:$A$40,0)),1))</f>
        <v/>
      </c>
      <c r="X78" s="26" t="str">
        <f aca="false">IF($C78="","",ROUND(V78*W78,1))</f>
        <v/>
      </c>
      <c r="Y78" s="27" t="str">
        <f aca="false">IF($C78="","",INDEX(設定!$B$49:$B$53,MATCH(X78,設定!$A$49:$A$53,1)))</f>
        <v/>
      </c>
    </row>
    <row r="79" customFormat="false" ht="15" hidden="false" customHeight="false" outlineLevel="0" collapsed="false">
      <c r="A79" s="23" t="n">
        <v>75</v>
      </c>
      <c r="B79" s="24"/>
      <c r="C79" s="9"/>
      <c r="D79" s="9"/>
      <c r="E79" s="15"/>
      <c r="F79" s="9"/>
      <c r="G79" s="17"/>
      <c r="H79" s="9"/>
      <c r="I79" s="9"/>
      <c r="J79" s="9"/>
      <c r="K79" s="9"/>
      <c r="L79" s="17"/>
      <c r="M79" s="9"/>
      <c r="N79" s="9"/>
      <c r="O79" s="25" t="str">
        <f aca="false">IF($C79="","",IFERROR(INDEX(設定!$B$14:$B$18,MATCH($E79,設定!$A$14:$A$18,0)),0))</f>
        <v/>
      </c>
      <c r="P79" s="25" t="str">
        <f aca="false">IF($C79="","",IF(N($G79)&lt;=1,0,MIN(100,LOG10($G79)/LOG10(設定!$B$43)*100)))</f>
        <v/>
      </c>
      <c r="Q79" s="25" t="str">
        <f aca="false">IF($C79="","",IFERROR(INDEX(設定!$B$21:$B$24,MATCH($H79,設定!$A$21:$A$24,0)),0))</f>
        <v/>
      </c>
      <c r="R79" s="25" t="str">
        <f aca="false">IF($C79="","",IF(設定!$B$45&lt;=0,0,MIN(100,N($I79)/設定!$B$45*100)))</f>
        <v/>
      </c>
      <c r="S79" s="25" t="str">
        <f aca="false">IF($C79="","",IFERROR(INDEX(設定!$B$27:$B$29,MATCH($J79,設定!$A$27:$A$29,0)),0))</f>
        <v/>
      </c>
      <c r="T79" s="25" t="str">
        <f aca="false">IF($C79="","",IFERROR(INDEX(設定!$B$32:$B$35,MATCH($K79,設定!$A$32:$A$35,0)),0))</f>
        <v/>
      </c>
      <c r="U79" s="25" t="str">
        <f aca="false">IF($C79="","",IF(N($L79)&lt;1,0,MIN(100,LOG10($L79+1)/LOG10(設定!$B$44+1)*100)))</f>
        <v/>
      </c>
      <c r="V79" s="25" t="str">
        <f aca="false">IF($C79="","",IF(設定!$B$11=0,0,(O79*設定!$B$4+P79*設定!$B$5+Q79*設定!$B$6+R79*設定!$B$7+S79*設定!$B$8+T79*設定!$B$9+U79*設定!$B$10)/設定!$B$11))</f>
        <v/>
      </c>
      <c r="W79" s="25" t="str">
        <f aca="false">IF($C79="","",IFERROR(INDEX(設定!$B$38:$B$40,MATCH($M79,設定!$A$38:$A$40,0)),1))</f>
        <v/>
      </c>
      <c r="X79" s="26" t="str">
        <f aca="false">IF($C79="","",ROUND(V79*W79,1))</f>
        <v/>
      </c>
      <c r="Y79" s="27" t="str">
        <f aca="false">IF($C79="","",INDEX(設定!$B$49:$B$53,MATCH(X79,設定!$A$49:$A$53,1)))</f>
        <v/>
      </c>
    </row>
    <row r="80" customFormat="false" ht="15" hidden="false" customHeight="false" outlineLevel="0" collapsed="false">
      <c r="A80" s="23" t="n">
        <v>76</v>
      </c>
      <c r="B80" s="24"/>
      <c r="C80" s="9"/>
      <c r="D80" s="9"/>
      <c r="E80" s="15"/>
      <c r="F80" s="9"/>
      <c r="G80" s="17"/>
      <c r="H80" s="9"/>
      <c r="I80" s="9"/>
      <c r="J80" s="9"/>
      <c r="K80" s="9"/>
      <c r="L80" s="17"/>
      <c r="M80" s="9"/>
      <c r="N80" s="9"/>
      <c r="O80" s="25" t="str">
        <f aca="false">IF($C80="","",IFERROR(INDEX(設定!$B$14:$B$18,MATCH($E80,設定!$A$14:$A$18,0)),0))</f>
        <v/>
      </c>
      <c r="P80" s="25" t="str">
        <f aca="false">IF($C80="","",IF(N($G80)&lt;=1,0,MIN(100,LOG10($G80)/LOG10(設定!$B$43)*100)))</f>
        <v/>
      </c>
      <c r="Q80" s="25" t="str">
        <f aca="false">IF($C80="","",IFERROR(INDEX(設定!$B$21:$B$24,MATCH($H80,設定!$A$21:$A$24,0)),0))</f>
        <v/>
      </c>
      <c r="R80" s="25" t="str">
        <f aca="false">IF($C80="","",IF(設定!$B$45&lt;=0,0,MIN(100,N($I80)/設定!$B$45*100)))</f>
        <v/>
      </c>
      <c r="S80" s="25" t="str">
        <f aca="false">IF($C80="","",IFERROR(INDEX(設定!$B$27:$B$29,MATCH($J80,設定!$A$27:$A$29,0)),0))</f>
        <v/>
      </c>
      <c r="T80" s="25" t="str">
        <f aca="false">IF($C80="","",IFERROR(INDEX(設定!$B$32:$B$35,MATCH($K80,設定!$A$32:$A$35,0)),0))</f>
        <v/>
      </c>
      <c r="U80" s="25" t="str">
        <f aca="false">IF($C80="","",IF(N($L80)&lt;1,0,MIN(100,LOG10($L80+1)/LOG10(設定!$B$44+1)*100)))</f>
        <v/>
      </c>
      <c r="V80" s="25" t="str">
        <f aca="false">IF($C80="","",IF(設定!$B$11=0,0,(O80*設定!$B$4+P80*設定!$B$5+Q80*設定!$B$6+R80*設定!$B$7+S80*設定!$B$8+T80*設定!$B$9+U80*設定!$B$10)/設定!$B$11))</f>
        <v/>
      </c>
      <c r="W80" s="25" t="str">
        <f aca="false">IF($C80="","",IFERROR(INDEX(設定!$B$38:$B$40,MATCH($M80,設定!$A$38:$A$40,0)),1))</f>
        <v/>
      </c>
      <c r="X80" s="26" t="str">
        <f aca="false">IF($C80="","",ROUND(V80*W80,1))</f>
        <v/>
      </c>
      <c r="Y80" s="27" t="str">
        <f aca="false">IF($C80="","",INDEX(設定!$B$49:$B$53,MATCH(X80,設定!$A$49:$A$53,1)))</f>
        <v/>
      </c>
    </row>
    <row r="81" customFormat="false" ht="15" hidden="false" customHeight="false" outlineLevel="0" collapsed="false">
      <c r="A81" s="23" t="n">
        <v>77</v>
      </c>
      <c r="B81" s="24"/>
      <c r="C81" s="9"/>
      <c r="D81" s="9"/>
      <c r="E81" s="15"/>
      <c r="F81" s="9"/>
      <c r="G81" s="17"/>
      <c r="H81" s="9"/>
      <c r="I81" s="9"/>
      <c r="J81" s="9"/>
      <c r="K81" s="9"/>
      <c r="L81" s="17"/>
      <c r="M81" s="9"/>
      <c r="N81" s="9"/>
      <c r="O81" s="25" t="str">
        <f aca="false">IF($C81="","",IFERROR(INDEX(設定!$B$14:$B$18,MATCH($E81,設定!$A$14:$A$18,0)),0))</f>
        <v/>
      </c>
      <c r="P81" s="25" t="str">
        <f aca="false">IF($C81="","",IF(N($G81)&lt;=1,0,MIN(100,LOG10($G81)/LOG10(設定!$B$43)*100)))</f>
        <v/>
      </c>
      <c r="Q81" s="25" t="str">
        <f aca="false">IF($C81="","",IFERROR(INDEX(設定!$B$21:$B$24,MATCH($H81,設定!$A$21:$A$24,0)),0))</f>
        <v/>
      </c>
      <c r="R81" s="25" t="str">
        <f aca="false">IF($C81="","",IF(設定!$B$45&lt;=0,0,MIN(100,N($I81)/設定!$B$45*100)))</f>
        <v/>
      </c>
      <c r="S81" s="25" t="str">
        <f aca="false">IF($C81="","",IFERROR(INDEX(設定!$B$27:$B$29,MATCH($J81,設定!$A$27:$A$29,0)),0))</f>
        <v/>
      </c>
      <c r="T81" s="25" t="str">
        <f aca="false">IF($C81="","",IFERROR(INDEX(設定!$B$32:$B$35,MATCH($K81,設定!$A$32:$A$35,0)),0))</f>
        <v/>
      </c>
      <c r="U81" s="25" t="str">
        <f aca="false">IF($C81="","",IF(N($L81)&lt;1,0,MIN(100,LOG10($L81+1)/LOG10(設定!$B$44+1)*100)))</f>
        <v/>
      </c>
      <c r="V81" s="25" t="str">
        <f aca="false">IF($C81="","",IF(設定!$B$11=0,0,(O81*設定!$B$4+P81*設定!$B$5+Q81*設定!$B$6+R81*設定!$B$7+S81*設定!$B$8+T81*設定!$B$9+U81*設定!$B$10)/設定!$B$11))</f>
        <v/>
      </c>
      <c r="W81" s="25" t="str">
        <f aca="false">IF($C81="","",IFERROR(INDEX(設定!$B$38:$B$40,MATCH($M81,設定!$A$38:$A$40,0)),1))</f>
        <v/>
      </c>
      <c r="X81" s="26" t="str">
        <f aca="false">IF($C81="","",ROUND(V81*W81,1))</f>
        <v/>
      </c>
      <c r="Y81" s="27" t="str">
        <f aca="false">IF($C81="","",INDEX(設定!$B$49:$B$53,MATCH(X81,設定!$A$49:$A$53,1)))</f>
        <v/>
      </c>
    </row>
    <row r="82" customFormat="false" ht="15" hidden="false" customHeight="false" outlineLevel="0" collapsed="false">
      <c r="A82" s="23" t="n">
        <v>78</v>
      </c>
      <c r="B82" s="24"/>
      <c r="C82" s="9"/>
      <c r="D82" s="9"/>
      <c r="E82" s="15"/>
      <c r="F82" s="9"/>
      <c r="G82" s="17"/>
      <c r="H82" s="9"/>
      <c r="I82" s="9"/>
      <c r="J82" s="9"/>
      <c r="K82" s="9"/>
      <c r="L82" s="17"/>
      <c r="M82" s="9"/>
      <c r="N82" s="9"/>
      <c r="O82" s="25" t="str">
        <f aca="false">IF($C82="","",IFERROR(INDEX(設定!$B$14:$B$18,MATCH($E82,設定!$A$14:$A$18,0)),0))</f>
        <v/>
      </c>
      <c r="P82" s="25" t="str">
        <f aca="false">IF($C82="","",IF(N($G82)&lt;=1,0,MIN(100,LOG10($G82)/LOG10(設定!$B$43)*100)))</f>
        <v/>
      </c>
      <c r="Q82" s="25" t="str">
        <f aca="false">IF($C82="","",IFERROR(INDEX(設定!$B$21:$B$24,MATCH($H82,設定!$A$21:$A$24,0)),0))</f>
        <v/>
      </c>
      <c r="R82" s="25" t="str">
        <f aca="false">IF($C82="","",IF(設定!$B$45&lt;=0,0,MIN(100,N($I82)/設定!$B$45*100)))</f>
        <v/>
      </c>
      <c r="S82" s="25" t="str">
        <f aca="false">IF($C82="","",IFERROR(INDEX(設定!$B$27:$B$29,MATCH($J82,設定!$A$27:$A$29,0)),0))</f>
        <v/>
      </c>
      <c r="T82" s="25" t="str">
        <f aca="false">IF($C82="","",IFERROR(INDEX(設定!$B$32:$B$35,MATCH($K82,設定!$A$32:$A$35,0)),0))</f>
        <v/>
      </c>
      <c r="U82" s="25" t="str">
        <f aca="false">IF($C82="","",IF(N($L82)&lt;1,0,MIN(100,LOG10($L82+1)/LOG10(設定!$B$44+1)*100)))</f>
        <v/>
      </c>
      <c r="V82" s="25" t="str">
        <f aca="false">IF($C82="","",IF(設定!$B$11=0,0,(O82*設定!$B$4+P82*設定!$B$5+Q82*設定!$B$6+R82*設定!$B$7+S82*設定!$B$8+T82*設定!$B$9+U82*設定!$B$10)/設定!$B$11))</f>
        <v/>
      </c>
      <c r="W82" s="25" t="str">
        <f aca="false">IF($C82="","",IFERROR(INDEX(設定!$B$38:$B$40,MATCH($M82,設定!$A$38:$A$40,0)),1))</f>
        <v/>
      </c>
      <c r="X82" s="26" t="str">
        <f aca="false">IF($C82="","",ROUND(V82*W82,1))</f>
        <v/>
      </c>
      <c r="Y82" s="27" t="str">
        <f aca="false">IF($C82="","",INDEX(設定!$B$49:$B$53,MATCH(X82,設定!$A$49:$A$53,1)))</f>
        <v/>
      </c>
    </row>
    <row r="83" customFormat="false" ht="15" hidden="false" customHeight="false" outlineLevel="0" collapsed="false">
      <c r="A83" s="23" t="n">
        <v>79</v>
      </c>
      <c r="B83" s="24"/>
      <c r="C83" s="9"/>
      <c r="D83" s="9"/>
      <c r="E83" s="15"/>
      <c r="F83" s="9"/>
      <c r="G83" s="17"/>
      <c r="H83" s="9"/>
      <c r="I83" s="9"/>
      <c r="J83" s="9"/>
      <c r="K83" s="9"/>
      <c r="L83" s="17"/>
      <c r="M83" s="9"/>
      <c r="N83" s="9"/>
      <c r="O83" s="25" t="str">
        <f aca="false">IF($C83="","",IFERROR(INDEX(設定!$B$14:$B$18,MATCH($E83,設定!$A$14:$A$18,0)),0))</f>
        <v/>
      </c>
      <c r="P83" s="25" t="str">
        <f aca="false">IF($C83="","",IF(N($G83)&lt;=1,0,MIN(100,LOG10($G83)/LOG10(設定!$B$43)*100)))</f>
        <v/>
      </c>
      <c r="Q83" s="25" t="str">
        <f aca="false">IF($C83="","",IFERROR(INDEX(設定!$B$21:$B$24,MATCH($H83,設定!$A$21:$A$24,0)),0))</f>
        <v/>
      </c>
      <c r="R83" s="25" t="str">
        <f aca="false">IF($C83="","",IF(設定!$B$45&lt;=0,0,MIN(100,N($I83)/設定!$B$45*100)))</f>
        <v/>
      </c>
      <c r="S83" s="25" t="str">
        <f aca="false">IF($C83="","",IFERROR(INDEX(設定!$B$27:$B$29,MATCH($J83,設定!$A$27:$A$29,0)),0))</f>
        <v/>
      </c>
      <c r="T83" s="25" t="str">
        <f aca="false">IF($C83="","",IFERROR(INDEX(設定!$B$32:$B$35,MATCH($K83,設定!$A$32:$A$35,0)),0))</f>
        <v/>
      </c>
      <c r="U83" s="25" t="str">
        <f aca="false">IF($C83="","",IF(N($L83)&lt;1,0,MIN(100,LOG10($L83+1)/LOG10(設定!$B$44+1)*100)))</f>
        <v/>
      </c>
      <c r="V83" s="25" t="str">
        <f aca="false">IF($C83="","",IF(設定!$B$11=0,0,(O83*設定!$B$4+P83*設定!$B$5+Q83*設定!$B$6+R83*設定!$B$7+S83*設定!$B$8+T83*設定!$B$9+U83*設定!$B$10)/設定!$B$11))</f>
        <v/>
      </c>
      <c r="W83" s="25" t="str">
        <f aca="false">IF($C83="","",IFERROR(INDEX(設定!$B$38:$B$40,MATCH($M83,設定!$A$38:$A$40,0)),1))</f>
        <v/>
      </c>
      <c r="X83" s="26" t="str">
        <f aca="false">IF($C83="","",ROUND(V83*W83,1))</f>
        <v/>
      </c>
      <c r="Y83" s="27" t="str">
        <f aca="false">IF($C83="","",INDEX(設定!$B$49:$B$53,MATCH(X83,設定!$A$49:$A$53,1)))</f>
        <v/>
      </c>
    </row>
    <row r="84" customFormat="false" ht="15" hidden="false" customHeight="false" outlineLevel="0" collapsed="false">
      <c r="A84" s="23" t="n">
        <v>80</v>
      </c>
      <c r="B84" s="24"/>
      <c r="C84" s="9"/>
      <c r="D84" s="9"/>
      <c r="E84" s="15"/>
      <c r="F84" s="9"/>
      <c r="G84" s="17"/>
      <c r="H84" s="9"/>
      <c r="I84" s="9"/>
      <c r="J84" s="9"/>
      <c r="K84" s="9"/>
      <c r="L84" s="17"/>
      <c r="M84" s="9"/>
      <c r="N84" s="9"/>
      <c r="O84" s="25" t="str">
        <f aca="false">IF($C84="","",IFERROR(INDEX(設定!$B$14:$B$18,MATCH($E84,設定!$A$14:$A$18,0)),0))</f>
        <v/>
      </c>
      <c r="P84" s="25" t="str">
        <f aca="false">IF($C84="","",IF(N($G84)&lt;=1,0,MIN(100,LOG10($G84)/LOG10(設定!$B$43)*100)))</f>
        <v/>
      </c>
      <c r="Q84" s="25" t="str">
        <f aca="false">IF($C84="","",IFERROR(INDEX(設定!$B$21:$B$24,MATCH($H84,設定!$A$21:$A$24,0)),0))</f>
        <v/>
      </c>
      <c r="R84" s="25" t="str">
        <f aca="false">IF($C84="","",IF(設定!$B$45&lt;=0,0,MIN(100,N($I84)/設定!$B$45*100)))</f>
        <v/>
      </c>
      <c r="S84" s="25" t="str">
        <f aca="false">IF($C84="","",IFERROR(INDEX(設定!$B$27:$B$29,MATCH($J84,設定!$A$27:$A$29,0)),0))</f>
        <v/>
      </c>
      <c r="T84" s="25" t="str">
        <f aca="false">IF($C84="","",IFERROR(INDEX(設定!$B$32:$B$35,MATCH($K84,設定!$A$32:$A$35,0)),0))</f>
        <v/>
      </c>
      <c r="U84" s="25" t="str">
        <f aca="false">IF($C84="","",IF(N($L84)&lt;1,0,MIN(100,LOG10($L84+1)/LOG10(設定!$B$44+1)*100)))</f>
        <v/>
      </c>
      <c r="V84" s="25" t="str">
        <f aca="false">IF($C84="","",IF(設定!$B$11=0,0,(O84*設定!$B$4+P84*設定!$B$5+Q84*設定!$B$6+R84*設定!$B$7+S84*設定!$B$8+T84*設定!$B$9+U84*設定!$B$10)/設定!$B$11))</f>
        <v/>
      </c>
      <c r="W84" s="25" t="str">
        <f aca="false">IF($C84="","",IFERROR(INDEX(設定!$B$38:$B$40,MATCH($M84,設定!$A$38:$A$40,0)),1))</f>
        <v/>
      </c>
      <c r="X84" s="26" t="str">
        <f aca="false">IF($C84="","",ROUND(V84*W84,1))</f>
        <v/>
      </c>
      <c r="Y84" s="27" t="str">
        <f aca="false">IF($C84="","",INDEX(設定!$B$49:$B$53,MATCH(X84,設定!$A$49:$A$53,1)))</f>
        <v/>
      </c>
    </row>
    <row r="85" customFormat="false" ht="15" hidden="false" customHeight="false" outlineLevel="0" collapsed="false">
      <c r="A85" s="23" t="n">
        <v>81</v>
      </c>
      <c r="B85" s="24"/>
      <c r="C85" s="9"/>
      <c r="D85" s="9"/>
      <c r="E85" s="15"/>
      <c r="F85" s="9"/>
      <c r="G85" s="17"/>
      <c r="H85" s="9"/>
      <c r="I85" s="9"/>
      <c r="J85" s="9"/>
      <c r="K85" s="9"/>
      <c r="L85" s="17"/>
      <c r="M85" s="9"/>
      <c r="N85" s="9"/>
      <c r="O85" s="25" t="str">
        <f aca="false">IF($C85="","",IFERROR(INDEX(設定!$B$14:$B$18,MATCH($E85,設定!$A$14:$A$18,0)),0))</f>
        <v/>
      </c>
      <c r="P85" s="25" t="str">
        <f aca="false">IF($C85="","",IF(N($G85)&lt;=1,0,MIN(100,LOG10($G85)/LOG10(設定!$B$43)*100)))</f>
        <v/>
      </c>
      <c r="Q85" s="25" t="str">
        <f aca="false">IF($C85="","",IFERROR(INDEX(設定!$B$21:$B$24,MATCH($H85,設定!$A$21:$A$24,0)),0))</f>
        <v/>
      </c>
      <c r="R85" s="25" t="str">
        <f aca="false">IF($C85="","",IF(設定!$B$45&lt;=0,0,MIN(100,N($I85)/設定!$B$45*100)))</f>
        <v/>
      </c>
      <c r="S85" s="25" t="str">
        <f aca="false">IF($C85="","",IFERROR(INDEX(設定!$B$27:$B$29,MATCH($J85,設定!$A$27:$A$29,0)),0))</f>
        <v/>
      </c>
      <c r="T85" s="25" t="str">
        <f aca="false">IF($C85="","",IFERROR(INDEX(設定!$B$32:$B$35,MATCH($K85,設定!$A$32:$A$35,0)),0))</f>
        <v/>
      </c>
      <c r="U85" s="25" t="str">
        <f aca="false">IF($C85="","",IF(N($L85)&lt;1,0,MIN(100,LOG10($L85+1)/LOG10(設定!$B$44+1)*100)))</f>
        <v/>
      </c>
      <c r="V85" s="25" t="str">
        <f aca="false">IF($C85="","",IF(設定!$B$11=0,0,(O85*設定!$B$4+P85*設定!$B$5+Q85*設定!$B$6+R85*設定!$B$7+S85*設定!$B$8+T85*設定!$B$9+U85*設定!$B$10)/設定!$B$11))</f>
        <v/>
      </c>
      <c r="W85" s="25" t="str">
        <f aca="false">IF($C85="","",IFERROR(INDEX(設定!$B$38:$B$40,MATCH($M85,設定!$A$38:$A$40,0)),1))</f>
        <v/>
      </c>
      <c r="X85" s="26" t="str">
        <f aca="false">IF($C85="","",ROUND(V85*W85,1))</f>
        <v/>
      </c>
      <c r="Y85" s="27" t="str">
        <f aca="false">IF($C85="","",INDEX(設定!$B$49:$B$53,MATCH(X85,設定!$A$49:$A$53,1)))</f>
        <v/>
      </c>
    </row>
    <row r="86" customFormat="false" ht="15" hidden="false" customHeight="false" outlineLevel="0" collapsed="false">
      <c r="A86" s="23" t="n">
        <v>82</v>
      </c>
      <c r="B86" s="24"/>
      <c r="C86" s="9"/>
      <c r="D86" s="9"/>
      <c r="E86" s="15"/>
      <c r="F86" s="9"/>
      <c r="G86" s="17"/>
      <c r="H86" s="9"/>
      <c r="I86" s="9"/>
      <c r="J86" s="9"/>
      <c r="K86" s="9"/>
      <c r="L86" s="17"/>
      <c r="M86" s="9"/>
      <c r="N86" s="9"/>
      <c r="O86" s="25" t="str">
        <f aca="false">IF($C86="","",IFERROR(INDEX(設定!$B$14:$B$18,MATCH($E86,設定!$A$14:$A$18,0)),0))</f>
        <v/>
      </c>
      <c r="P86" s="25" t="str">
        <f aca="false">IF($C86="","",IF(N($G86)&lt;=1,0,MIN(100,LOG10($G86)/LOG10(設定!$B$43)*100)))</f>
        <v/>
      </c>
      <c r="Q86" s="25" t="str">
        <f aca="false">IF($C86="","",IFERROR(INDEX(設定!$B$21:$B$24,MATCH($H86,設定!$A$21:$A$24,0)),0))</f>
        <v/>
      </c>
      <c r="R86" s="25" t="str">
        <f aca="false">IF($C86="","",IF(設定!$B$45&lt;=0,0,MIN(100,N($I86)/設定!$B$45*100)))</f>
        <v/>
      </c>
      <c r="S86" s="25" t="str">
        <f aca="false">IF($C86="","",IFERROR(INDEX(設定!$B$27:$B$29,MATCH($J86,設定!$A$27:$A$29,0)),0))</f>
        <v/>
      </c>
      <c r="T86" s="25" t="str">
        <f aca="false">IF($C86="","",IFERROR(INDEX(設定!$B$32:$B$35,MATCH($K86,設定!$A$32:$A$35,0)),0))</f>
        <v/>
      </c>
      <c r="U86" s="25" t="str">
        <f aca="false">IF($C86="","",IF(N($L86)&lt;1,0,MIN(100,LOG10($L86+1)/LOG10(設定!$B$44+1)*100)))</f>
        <v/>
      </c>
      <c r="V86" s="25" t="str">
        <f aca="false">IF($C86="","",IF(設定!$B$11=0,0,(O86*設定!$B$4+P86*設定!$B$5+Q86*設定!$B$6+R86*設定!$B$7+S86*設定!$B$8+T86*設定!$B$9+U86*設定!$B$10)/設定!$B$11))</f>
        <v/>
      </c>
      <c r="W86" s="25" t="str">
        <f aca="false">IF($C86="","",IFERROR(INDEX(設定!$B$38:$B$40,MATCH($M86,設定!$A$38:$A$40,0)),1))</f>
        <v/>
      </c>
      <c r="X86" s="26" t="str">
        <f aca="false">IF($C86="","",ROUND(V86*W86,1))</f>
        <v/>
      </c>
      <c r="Y86" s="27" t="str">
        <f aca="false">IF($C86="","",INDEX(設定!$B$49:$B$53,MATCH(X86,設定!$A$49:$A$53,1)))</f>
        <v/>
      </c>
    </row>
    <row r="87" customFormat="false" ht="15" hidden="false" customHeight="false" outlineLevel="0" collapsed="false">
      <c r="A87" s="23" t="n">
        <v>83</v>
      </c>
      <c r="B87" s="24"/>
      <c r="C87" s="9"/>
      <c r="D87" s="9"/>
      <c r="E87" s="15"/>
      <c r="F87" s="9"/>
      <c r="G87" s="17"/>
      <c r="H87" s="9"/>
      <c r="I87" s="9"/>
      <c r="J87" s="9"/>
      <c r="K87" s="9"/>
      <c r="L87" s="17"/>
      <c r="M87" s="9"/>
      <c r="N87" s="9"/>
      <c r="O87" s="25" t="str">
        <f aca="false">IF($C87="","",IFERROR(INDEX(設定!$B$14:$B$18,MATCH($E87,設定!$A$14:$A$18,0)),0))</f>
        <v/>
      </c>
      <c r="P87" s="25" t="str">
        <f aca="false">IF($C87="","",IF(N($G87)&lt;=1,0,MIN(100,LOG10($G87)/LOG10(設定!$B$43)*100)))</f>
        <v/>
      </c>
      <c r="Q87" s="25" t="str">
        <f aca="false">IF($C87="","",IFERROR(INDEX(設定!$B$21:$B$24,MATCH($H87,設定!$A$21:$A$24,0)),0))</f>
        <v/>
      </c>
      <c r="R87" s="25" t="str">
        <f aca="false">IF($C87="","",IF(設定!$B$45&lt;=0,0,MIN(100,N($I87)/設定!$B$45*100)))</f>
        <v/>
      </c>
      <c r="S87" s="25" t="str">
        <f aca="false">IF($C87="","",IFERROR(INDEX(設定!$B$27:$B$29,MATCH($J87,設定!$A$27:$A$29,0)),0))</f>
        <v/>
      </c>
      <c r="T87" s="25" t="str">
        <f aca="false">IF($C87="","",IFERROR(INDEX(設定!$B$32:$B$35,MATCH($K87,設定!$A$32:$A$35,0)),0))</f>
        <v/>
      </c>
      <c r="U87" s="25" t="str">
        <f aca="false">IF($C87="","",IF(N($L87)&lt;1,0,MIN(100,LOG10($L87+1)/LOG10(設定!$B$44+1)*100)))</f>
        <v/>
      </c>
      <c r="V87" s="25" t="str">
        <f aca="false">IF($C87="","",IF(設定!$B$11=0,0,(O87*設定!$B$4+P87*設定!$B$5+Q87*設定!$B$6+R87*設定!$B$7+S87*設定!$B$8+T87*設定!$B$9+U87*設定!$B$10)/設定!$B$11))</f>
        <v/>
      </c>
      <c r="W87" s="25" t="str">
        <f aca="false">IF($C87="","",IFERROR(INDEX(設定!$B$38:$B$40,MATCH($M87,設定!$A$38:$A$40,0)),1))</f>
        <v/>
      </c>
      <c r="X87" s="26" t="str">
        <f aca="false">IF($C87="","",ROUND(V87*W87,1))</f>
        <v/>
      </c>
      <c r="Y87" s="27" t="str">
        <f aca="false">IF($C87="","",INDEX(設定!$B$49:$B$53,MATCH(X87,設定!$A$49:$A$53,1)))</f>
        <v/>
      </c>
    </row>
    <row r="88" customFormat="false" ht="15" hidden="false" customHeight="false" outlineLevel="0" collapsed="false">
      <c r="A88" s="23" t="n">
        <v>84</v>
      </c>
      <c r="B88" s="24"/>
      <c r="C88" s="9"/>
      <c r="D88" s="9"/>
      <c r="E88" s="15"/>
      <c r="F88" s="9"/>
      <c r="G88" s="17"/>
      <c r="H88" s="9"/>
      <c r="I88" s="9"/>
      <c r="J88" s="9"/>
      <c r="K88" s="9"/>
      <c r="L88" s="17"/>
      <c r="M88" s="9"/>
      <c r="N88" s="9"/>
      <c r="O88" s="25" t="str">
        <f aca="false">IF($C88="","",IFERROR(INDEX(設定!$B$14:$B$18,MATCH($E88,設定!$A$14:$A$18,0)),0))</f>
        <v/>
      </c>
      <c r="P88" s="25" t="str">
        <f aca="false">IF($C88="","",IF(N($G88)&lt;=1,0,MIN(100,LOG10($G88)/LOG10(設定!$B$43)*100)))</f>
        <v/>
      </c>
      <c r="Q88" s="25" t="str">
        <f aca="false">IF($C88="","",IFERROR(INDEX(設定!$B$21:$B$24,MATCH($H88,設定!$A$21:$A$24,0)),0))</f>
        <v/>
      </c>
      <c r="R88" s="25" t="str">
        <f aca="false">IF($C88="","",IF(設定!$B$45&lt;=0,0,MIN(100,N($I88)/設定!$B$45*100)))</f>
        <v/>
      </c>
      <c r="S88" s="25" t="str">
        <f aca="false">IF($C88="","",IFERROR(INDEX(設定!$B$27:$B$29,MATCH($J88,設定!$A$27:$A$29,0)),0))</f>
        <v/>
      </c>
      <c r="T88" s="25" t="str">
        <f aca="false">IF($C88="","",IFERROR(INDEX(設定!$B$32:$B$35,MATCH($K88,設定!$A$32:$A$35,0)),0))</f>
        <v/>
      </c>
      <c r="U88" s="25" t="str">
        <f aca="false">IF($C88="","",IF(N($L88)&lt;1,0,MIN(100,LOG10($L88+1)/LOG10(設定!$B$44+1)*100)))</f>
        <v/>
      </c>
      <c r="V88" s="25" t="str">
        <f aca="false">IF($C88="","",IF(設定!$B$11=0,0,(O88*設定!$B$4+P88*設定!$B$5+Q88*設定!$B$6+R88*設定!$B$7+S88*設定!$B$8+T88*設定!$B$9+U88*設定!$B$10)/設定!$B$11))</f>
        <v/>
      </c>
      <c r="W88" s="25" t="str">
        <f aca="false">IF($C88="","",IFERROR(INDEX(設定!$B$38:$B$40,MATCH($M88,設定!$A$38:$A$40,0)),1))</f>
        <v/>
      </c>
      <c r="X88" s="26" t="str">
        <f aca="false">IF($C88="","",ROUND(V88*W88,1))</f>
        <v/>
      </c>
      <c r="Y88" s="27" t="str">
        <f aca="false">IF($C88="","",INDEX(設定!$B$49:$B$53,MATCH(X88,設定!$A$49:$A$53,1)))</f>
        <v/>
      </c>
    </row>
    <row r="89" customFormat="false" ht="15" hidden="false" customHeight="false" outlineLevel="0" collapsed="false">
      <c r="A89" s="23" t="n">
        <v>85</v>
      </c>
      <c r="B89" s="24"/>
      <c r="C89" s="9"/>
      <c r="D89" s="9"/>
      <c r="E89" s="15"/>
      <c r="F89" s="9"/>
      <c r="G89" s="17"/>
      <c r="H89" s="9"/>
      <c r="I89" s="9"/>
      <c r="J89" s="9"/>
      <c r="K89" s="9"/>
      <c r="L89" s="17"/>
      <c r="M89" s="9"/>
      <c r="N89" s="9"/>
      <c r="O89" s="25" t="str">
        <f aca="false">IF($C89="","",IFERROR(INDEX(設定!$B$14:$B$18,MATCH($E89,設定!$A$14:$A$18,0)),0))</f>
        <v/>
      </c>
      <c r="P89" s="25" t="str">
        <f aca="false">IF($C89="","",IF(N($G89)&lt;=1,0,MIN(100,LOG10($G89)/LOG10(設定!$B$43)*100)))</f>
        <v/>
      </c>
      <c r="Q89" s="25" t="str">
        <f aca="false">IF($C89="","",IFERROR(INDEX(設定!$B$21:$B$24,MATCH($H89,設定!$A$21:$A$24,0)),0))</f>
        <v/>
      </c>
      <c r="R89" s="25" t="str">
        <f aca="false">IF($C89="","",IF(設定!$B$45&lt;=0,0,MIN(100,N($I89)/設定!$B$45*100)))</f>
        <v/>
      </c>
      <c r="S89" s="25" t="str">
        <f aca="false">IF($C89="","",IFERROR(INDEX(設定!$B$27:$B$29,MATCH($J89,設定!$A$27:$A$29,0)),0))</f>
        <v/>
      </c>
      <c r="T89" s="25" t="str">
        <f aca="false">IF($C89="","",IFERROR(INDEX(設定!$B$32:$B$35,MATCH($K89,設定!$A$32:$A$35,0)),0))</f>
        <v/>
      </c>
      <c r="U89" s="25" t="str">
        <f aca="false">IF($C89="","",IF(N($L89)&lt;1,0,MIN(100,LOG10($L89+1)/LOG10(設定!$B$44+1)*100)))</f>
        <v/>
      </c>
      <c r="V89" s="25" t="str">
        <f aca="false">IF($C89="","",IF(設定!$B$11=0,0,(O89*設定!$B$4+P89*設定!$B$5+Q89*設定!$B$6+R89*設定!$B$7+S89*設定!$B$8+T89*設定!$B$9+U89*設定!$B$10)/設定!$B$11))</f>
        <v/>
      </c>
      <c r="W89" s="25" t="str">
        <f aca="false">IF($C89="","",IFERROR(INDEX(設定!$B$38:$B$40,MATCH($M89,設定!$A$38:$A$40,0)),1))</f>
        <v/>
      </c>
      <c r="X89" s="26" t="str">
        <f aca="false">IF($C89="","",ROUND(V89*W89,1))</f>
        <v/>
      </c>
      <c r="Y89" s="27" t="str">
        <f aca="false">IF($C89="","",INDEX(設定!$B$49:$B$53,MATCH(X89,設定!$A$49:$A$53,1)))</f>
        <v/>
      </c>
    </row>
    <row r="90" customFormat="false" ht="15" hidden="false" customHeight="false" outlineLevel="0" collapsed="false">
      <c r="A90" s="23" t="n">
        <v>86</v>
      </c>
      <c r="B90" s="24"/>
      <c r="C90" s="9"/>
      <c r="D90" s="9"/>
      <c r="E90" s="15"/>
      <c r="F90" s="9"/>
      <c r="G90" s="17"/>
      <c r="H90" s="9"/>
      <c r="I90" s="9"/>
      <c r="J90" s="9"/>
      <c r="K90" s="9"/>
      <c r="L90" s="17"/>
      <c r="M90" s="9"/>
      <c r="N90" s="9"/>
      <c r="O90" s="25" t="str">
        <f aca="false">IF($C90="","",IFERROR(INDEX(設定!$B$14:$B$18,MATCH($E90,設定!$A$14:$A$18,0)),0))</f>
        <v/>
      </c>
      <c r="P90" s="25" t="str">
        <f aca="false">IF($C90="","",IF(N($G90)&lt;=1,0,MIN(100,LOG10($G90)/LOG10(設定!$B$43)*100)))</f>
        <v/>
      </c>
      <c r="Q90" s="25" t="str">
        <f aca="false">IF($C90="","",IFERROR(INDEX(設定!$B$21:$B$24,MATCH($H90,設定!$A$21:$A$24,0)),0))</f>
        <v/>
      </c>
      <c r="R90" s="25" t="str">
        <f aca="false">IF($C90="","",IF(設定!$B$45&lt;=0,0,MIN(100,N($I90)/設定!$B$45*100)))</f>
        <v/>
      </c>
      <c r="S90" s="25" t="str">
        <f aca="false">IF($C90="","",IFERROR(INDEX(設定!$B$27:$B$29,MATCH($J90,設定!$A$27:$A$29,0)),0))</f>
        <v/>
      </c>
      <c r="T90" s="25" t="str">
        <f aca="false">IF($C90="","",IFERROR(INDEX(設定!$B$32:$B$35,MATCH($K90,設定!$A$32:$A$35,0)),0))</f>
        <v/>
      </c>
      <c r="U90" s="25" t="str">
        <f aca="false">IF($C90="","",IF(N($L90)&lt;1,0,MIN(100,LOG10($L90+1)/LOG10(設定!$B$44+1)*100)))</f>
        <v/>
      </c>
      <c r="V90" s="25" t="str">
        <f aca="false">IF($C90="","",IF(設定!$B$11=0,0,(O90*設定!$B$4+P90*設定!$B$5+Q90*設定!$B$6+R90*設定!$B$7+S90*設定!$B$8+T90*設定!$B$9+U90*設定!$B$10)/設定!$B$11))</f>
        <v/>
      </c>
      <c r="W90" s="25" t="str">
        <f aca="false">IF($C90="","",IFERROR(INDEX(設定!$B$38:$B$40,MATCH($M90,設定!$A$38:$A$40,0)),1))</f>
        <v/>
      </c>
      <c r="X90" s="26" t="str">
        <f aca="false">IF($C90="","",ROUND(V90*W90,1))</f>
        <v/>
      </c>
      <c r="Y90" s="27" t="str">
        <f aca="false">IF($C90="","",INDEX(設定!$B$49:$B$53,MATCH(X90,設定!$A$49:$A$53,1)))</f>
        <v/>
      </c>
    </row>
    <row r="91" customFormat="false" ht="15" hidden="false" customHeight="false" outlineLevel="0" collapsed="false">
      <c r="A91" s="23" t="n">
        <v>87</v>
      </c>
      <c r="B91" s="24"/>
      <c r="C91" s="9"/>
      <c r="D91" s="9"/>
      <c r="E91" s="15"/>
      <c r="F91" s="9"/>
      <c r="G91" s="17"/>
      <c r="H91" s="9"/>
      <c r="I91" s="9"/>
      <c r="J91" s="9"/>
      <c r="K91" s="9"/>
      <c r="L91" s="17"/>
      <c r="M91" s="9"/>
      <c r="N91" s="9"/>
      <c r="O91" s="25" t="str">
        <f aca="false">IF($C91="","",IFERROR(INDEX(設定!$B$14:$B$18,MATCH($E91,設定!$A$14:$A$18,0)),0))</f>
        <v/>
      </c>
      <c r="P91" s="25" t="str">
        <f aca="false">IF($C91="","",IF(N($G91)&lt;=1,0,MIN(100,LOG10($G91)/LOG10(設定!$B$43)*100)))</f>
        <v/>
      </c>
      <c r="Q91" s="25" t="str">
        <f aca="false">IF($C91="","",IFERROR(INDEX(設定!$B$21:$B$24,MATCH($H91,設定!$A$21:$A$24,0)),0))</f>
        <v/>
      </c>
      <c r="R91" s="25" t="str">
        <f aca="false">IF($C91="","",IF(設定!$B$45&lt;=0,0,MIN(100,N($I91)/設定!$B$45*100)))</f>
        <v/>
      </c>
      <c r="S91" s="25" t="str">
        <f aca="false">IF($C91="","",IFERROR(INDEX(設定!$B$27:$B$29,MATCH($J91,設定!$A$27:$A$29,0)),0))</f>
        <v/>
      </c>
      <c r="T91" s="25" t="str">
        <f aca="false">IF($C91="","",IFERROR(INDEX(設定!$B$32:$B$35,MATCH($K91,設定!$A$32:$A$35,0)),0))</f>
        <v/>
      </c>
      <c r="U91" s="25" t="str">
        <f aca="false">IF($C91="","",IF(N($L91)&lt;1,0,MIN(100,LOG10($L91+1)/LOG10(設定!$B$44+1)*100)))</f>
        <v/>
      </c>
      <c r="V91" s="25" t="str">
        <f aca="false">IF($C91="","",IF(設定!$B$11=0,0,(O91*設定!$B$4+P91*設定!$B$5+Q91*設定!$B$6+R91*設定!$B$7+S91*設定!$B$8+T91*設定!$B$9+U91*設定!$B$10)/設定!$B$11))</f>
        <v/>
      </c>
      <c r="W91" s="25" t="str">
        <f aca="false">IF($C91="","",IFERROR(INDEX(設定!$B$38:$B$40,MATCH($M91,設定!$A$38:$A$40,0)),1))</f>
        <v/>
      </c>
      <c r="X91" s="26" t="str">
        <f aca="false">IF($C91="","",ROUND(V91*W91,1))</f>
        <v/>
      </c>
      <c r="Y91" s="27" t="str">
        <f aca="false">IF($C91="","",INDEX(設定!$B$49:$B$53,MATCH(X91,設定!$A$49:$A$53,1)))</f>
        <v/>
      </c>
    </row>
    <row r="92" customFormat="false" ht="15" hidden="false" customHeight="false" outlineLevel="0" collapsed="false">
      <c r="A92" s="23" t="n">
        <v>88</v>
      </c>
      <c r="B92" s="24"/>
      <c r="C92" s="9"/>
      <c r="D92" s="9"/>
      <c r="E92" s="15"/>
      <c r="F92" s="9"/>
      <c r="G92" s="17"/>
      <c r="H92" s="9"/>
      <c r="I92" s="9"/>
      <c r="J92" s="9"/>
      <c r="K92" s="9"/>
      <c r="L92" s="17"/>
      <c r="M92" s="9"/>
      <c r="N92" s="9"/>
      <c r="O92" s="25" t="str">
        <f aca="false">IF($C92="","",IFERROR(INDEX(設定!$B$14:$B$18,MATCH($E92,設定!$A$14:$A$18,0)),0))</f>
        <v/>
      </c>
      <c r="P92" s="25" t="str">
        <f aca="false">IF($C92="","",IF(N($G92)&lt;=1,0,MIN(100,LOG10($G92)/LOG10(設定!$B$43)*100)))</f>
        <v/>
      </c>
      <c r="Q92" s="25" t="str">
        <f aca="false">IF($C92="","",IFERROR(INDEX(設定!$B$21:$B$24,MATCH($H92,設定!$A$21:$A$24,0)),0))</f>
        <v/>
      </c>
      <c r="R92" s="25" t="str">
        <f aca="false">IF($C92="","",IF(設定!$B$45&lt;=0,0,MIN(100,N($I92)/設定!$B$45*100)))</f>
        <v/>
      </c>
      <c r="S92" s="25" t="str">
        <f aca="false">IF($C92="","",IFERROR(INDEX(設定!$B$27:$B$29,MATCH($J92,設定!$A$27:$A$29,0)),0))</f>
        <v/>
      </c>
      <c r="T92" s="25" t="str">
        <f aca="false">IF($C92="","",IFERROR(INDEX(設定!$B$32:$B$35,MATCH($K92,設定!$A$32:$A$35,0)),0))</f>
        <v/>
      </c>
      <c r="U92" s="25" t="str">
        <f aca="false">IF($C92="","",IF(N($L92)&lt;1,0,MIN(100,LOG10($L92+1)/LOG10(設定!$B$44+1)*100)))</f>
        <v/>
      </c>
      <c r="V92" s="25" t="str">
        <f aca="false">IF($C92="","",IF(設定!$B$11=0,0,(O92*設定!$B$4+P92*設定!$B$5+Q92*設定!$B$6+R92*設定!$B$7+S92*設定!$B$8+T92*設定!$B$9+U92*設定!$B$10)/設定!$B$11))</f>
        <v/>
      </c>
      <c r="W92" s="25" t="str">
        <f aca="false">IF($C92="","",IFERROR(INDEX(設定!$B$38:$B$40,MATCH($M92,設定!$A$38:$A$40,0)),1))</f>
        <v/>
      </c>
      <c r="X92" s="26" t="str">
        <f aca="false">IF($C92="","",ROUND(V92*W92,1))</f>
        <v/>
      </c>
      <c r="Y92" s="27" t="str">
        <f aca="false">IF($C92="","",INDEX(設定!$B$49:$B$53,MATCH(X92,設定!$A$49:$A$53,1)))</f>
        <v/>
      </c>
    </row>
    <row r="93" customFormat="false" ht="15" hidden="false" customHeight="false" outlineLevel="0" collapsed="false">
      <c r="A93" s="23" t="n">
        <v>89</v>
      </c>
      <c r="B93" s="24"/>
      <c r="C93" s="9"/>
      <c r="D93" s="9"/>
      <c r="E93" s="15"/>
      <c r="F93" s="9"/>
      <c r="G93" s="17"/>
      <c r="H93" s="9"/>
      <c r="I93" s="9"/>
      <c r="J93" s="9"/>
      <c r="K93" s="9"/>
      <c r="L93" s="17"/>
      <c r="M93" s="9"/>
      <c r="N93" s="9"/>
      <c r="O93" s="25" t="str">
        <f aca="false">IF($C93="","",IFERROR(INDEX(設定!$B$14:$B$18,MATCH($E93,設定!$A$14:$A$18,0)),0))</f>
        <v/>
      </c>
      <c r="P93" s="25" t="str">
        <f aca="false">IF($C93="","",IF(N($G93)&lt;=1,0,MIN(100,LOG10($G93)/LOG10(設定!$B$43)*100)))</f>
        <v/>
      </c>
      <c r="Q93" s="25" t="str">
        <f aca="false">IF($C93="","",IFERROR(INDEX(設定!$B$21:$B$24,MATCH($H93,設定!$A$21:$A$24,0)),0))</f>
        <v/>
      </c>
      <c r="R93" s="25" t="str">
        <f aca="false">IF($C93="","",IF(設定!$B$45&lt;=0,0,MIN(100,N($I93)/設定!$B$45*100)))</f>
        <v/>
      </c>
      <c r="S93" s="25" t="str">
        <f aca="false">IF($C93="","",IFERROR(INDEX(設定!$B$27:$B$29,MATCH($J93,設定!$A$27:$A$29,0)),0))</f>
        <v/>
      </c>
      <c r="T93" s="25" t="str">
        <f aca="false">IF($C93="","",IFERROR(INDEX(設定!$B$32:$B$35,MATCH($K93,設定!$A$32:$A$35,0)),0))</f>
        <v/>
      </c>
      <c r="U93" s="25" t="str">
        <f aca="false">IF($C93="","",IF(N($L93)&lt;1,0,MIN(100,LOG10($L93+1)/LOG10(設定!$B$44+1)*100)))</f>
        <v/>
      </c>
      <c r="V93" s="25" t="str">
        <f aca="false">IF($C93="","",IF(設定!$B$11=0,0,(O93*設定!$B$4+P93*設定!$B$5+Q93*設定!$B$6+R93*設定!$B$7+S93*設定!$B$8+T93*設定!$B$9+U93*設定!$B$10)/設定!$B$11))</f>
        <v/>
      </c>
      <c r="W93" s="25" t="str">
        <f aca="false">IF($C93="","",IFERROR(INDEX(設定!$B$38:$B$40,MATCH($M93,設定!$A$38:$A$40,0)),1))</f>
        <v/>
      </c>
      <c r="X93" s="26" t="str">
        <f aca="false">IF($C93="","",ROUND(V93*W93,1))</f>
        <v/>
      </c>
      <c r="Y93" s="27" t="str">
        <f aca="false">IF($C93="","",INDEX(設定!$B$49:$B$53,MATCH(X93,設定!$A$49:$A$53,1)))</f>
        <v/>
      </c>
    </row>
    <row r="94" customFormat="false" ht="15" hidden="false" customHeight="false" outlineLevel="0" collapsed="false">
      <c r="A94" s="23" t="n">
        <v>90</v>
      </c>
      <c r="B94" s="24"/>
      <c r="C94" s="9"/>
      <c r="D94" s="9"/>
      <c r="E94" s="15"/>
      <c r="F94" s="9"/>
      <c r="G94" s="17"/>
      <c r="H94" s="9"/>
      <c r="I94" s="9"/>
      <c r="J94" s="9"/>
      <c r="K94" s="9"/>
      <c r="L94" s="17"/>
      <c r="M94" s="9"/>
      <c r="N94" s="9"/>
      <c r="O94" s="25" t="str">
        <f aca="false">IF($C94="","",IFERROR(INDEX(設定!$B$14:$B$18,MATCH($E94,設定!$A$14:$A$18,0)),0))</f>
        <v/>
      </c>
      <c r="P94" s="25" t="str">
        <f aca="false">IF($C94="","",IF(N($G94)&lt;=1,0,MIN(100,LOG10($G94)/LOG10(設定!$B$43)*100)))</f>
        <v/>
      </c>
      <c r="Q94" s="25" t="str">
        <f aca="false">IF($C94="","",IFERROR(INDEX(設定!$B$21:$B$24,MATCH($H94,設定!$A$21:$A$24,0)),0))</f>
        <v/>
      </c>
      <c r="R94" s="25" t="str">
        <f aca="false">IF($C94="","",IF(設定!$B$45&lt;=0,0,MIN(100,N($I94)/設定!$B$45*100)))</f>
        <v/>
      </c>
      <c r="S94" s="25" t="str">
        <f aca="false">IF($C94="","",IFERROR(INDEX(設定!$B$27:$B$29,MATCH($J94,設定!$A$27:$A$29,0)),0))</f>
        <v/>
      </c>
      <c r="T94" s="25" t="str">
        <f aca="false">IF($C94="","",IFERROR(INDEX(設定!$B$32:$B$35,MATCH($K94,設定!$A$32:$A$35,0)),0))</f>
        <v/>
      </c>
      <c r="U94" s="25" t="str">
        <f aca="false">IF($C94="","",IF(N($L94)&lt;1,0,MIN(100,LOG10($L94+1)/LOG10(設定!$B$44+1)*100)))</f>
        <v/>
      </c>
      <c r="V94" s="25" t="str">
        <f aca="false">IF($C94="","",IF(設定!$B$11=0,0,(O94*設定!$B$4+P94*設定!$B$5+Q94*設定!$B$6+R94*設定!$B$7+S94*設定!$B$8+T94*設定!$B$9+U94*設定!$B$10)/設定!$B$11))</f>
        <v/>
      </c>
      <c r="W94" s="25" t="str">
        <f aca="false">IF($C94="","",IFERROR(INDEX(設定!$B$38:$B$40,MATCH($M94,設定!$A$38:$A$40,0)),1))</f>
        <v/>
      </c>
      <c r="X94" s="26" t="str">
        <f aca="false">IF($C94="","",ROUND(V94*W94,1))</f>
        <v/>
      </c>
      <c r="Y94" s="27" t="str">
        <f aca="false">IF($C94="","",INDEX(設定!$B$49:$B$53,MATCH(X94,設定!$A$49:$A$53,1)))</f>
        <v/>
      </c>
    </row>
    <row r="95" customFormat="false" ht="15" hidden="false" customHeight="false" outlineLevel="0" collapsed="false">
      <c r="A95" s="23" t="n">
        <v>91</v>
      </c>
      <c r="B95" s="24"/>
      <c r="C95" s="9"/>
      <c r="D95" s="9"/>
      <c r="E95" s="15"/>
      <c r="F95" s="9"/>
      <c r="G95" s="17"/>
      <c r="H95" s="9"/>
      <c r="I95" s="9"/>
      <c r="J95" s="9"/>
      <c r="K95" s="9"/>
      <c r="L95" s="17"/>
      <c r="M95" s="9"/>
      <c r="N95" s="9"/>
      <c r="O95" s="25" t="str">
        <f aca="false">IF($C95="","",IFERROR(INDEX(設定!$B$14:$B$18,MATCH($E95,設定!$A$14:$A$18,0)),0))</f>
        <v/>
      </c>
      <c r="P95" s="25" t="str">
        <f aca="false">IF($C95="","",IF(N($G95)&lt;=1,0,MIN(100,LOG10($G95)/LOG10(設定!$B$43)*100)))</f>
        <v/>
      </c>
      <c r="Q95" s="25" t="str">
        <f aca="false">IF($C95="","",IFERROR(INDEX(設定!$B$21:$B$24,MATCH($H95,設定!$A$21:$A$24,0)),0))</f>
        <v/>
      </c>
      <c r="R95" s="25" t="str">
        <f aca="false">IF($C95="","",IF(設定!$B$45&lt;=0,0,MIN(100,N($I95)/設定!$B$45*100)))</f>
        <v/>
      </c>
      <c r="S95" s="25" t="str">
        <f aca="false">IF($C95="","",IFERROR(INDEX(設定!$B$27:$B$29,MATCH($J95,設定!$A$27:$A$29,0)),0))</f>
        <v/>
      </c>
      <c r="T95" s="25" t="str">
        <f aca="false">IF($C95="","",IFERROR(INDEX(設定!$B$32:$B$35,MATCH($K95,設定!$A$32:$A$35,0)),0))</f>
        <v/>
      </c>
      <c r="U95" s="25" t="str">
        <f aca="false">IF($C95="","",IF(N($L95)&lt;1,0,MIN(100,LOG10($L95+1)/LOG10(設定!$B$44+1)*100)))</f>
        <v/>
      </c>
      <c r="V95" s="25" t="str">
        <f aca="false">IF($C95="","",IF(設定!$B$11=0,0,(O95*設定!$B$4+P95*設定!$B$5+Q95*設定!$B$6+R95*設定!$B$7+S95*設定!$B$8+T95*設定!$B$9+U95*設定!$B$10)/設定!$B$11))</f>
        <v/>
      </c>
      <c r="W95" s="25" t="str">
        <f aca="false">IF($C95="","",IFERROR(INDEX(設定!$B$38:$B$40,MATCH($M95,設定!$A$38:$A$40,0)),1))</f>
        <v/>
      </c>
      <c r="X95" s="26" t="str">
        <f aca="false">IF($C95="","",ROUND(V95*W95,1))</f>
        <v/>
      </c>
      <c r="Y95" s="27" t="str">
        <f aca="false">IF($C95="","",INDEX(設定!$B$49:$B$53,MATCH(X95,設定!$A$49:$A$53,1)))</f>
        <v/>
      </c>
    </row>
    <row r="96" customFormat="false" ht="15" hidden="false" customHeight="false" outlineLevel="0" collapsed="false">
      <c r="A96" s="23" t="n">
        <v>92</v>
      </c>
      <c r="B96" s="24"/>
      <c r="C96" s="9"/>
      <c r="D96" s="9"/>
      <c r="E96" s="15"/>
      <c r="F96" s="9"/>
      <c r="G96" s="17"/>
      <c r="H96" s="9"/>
      <c r="I96" s="9"/>
      <c r="J96" s="9"/>
      <c r="K96" s="9"/>
      <c r="L96" s="17"/>
      <c r="M96" s="9"/>
      <c r="N96" s="9"/>
      <c r="O96" s="25" t="str">
        <f aca="false">IF($C96="","",IFERROR(INDEX(設定!$B$14:$B$18,MATCH($E96,設定!$A$14:$A$18,0)),0))</f>
        <v/>
      </c>
      <c r="P96" s="25" t="str">
        <f aca="false">IF($C96="","",IF(N($G96)&lt;=1,0,MIN(100,LOG10($G96)/LOG10(設定!$B$43)*100)))</f>
        <v/>
      </c>
      <c r="Q96" s="25" t="str">
        <f aca="false">IF($C96="","",IFERROR(INDEX(設定!$B$21:$B$24,MATCH($H96,設定!$A$21:$A$24,0)),0))</f>
        <v/>
      </c>
      <c r="R96" s="25" t="str">
        <f aca="false">IF($C96="","",IF(設定!$B$45&lt;=0,0,MIN(100,N($I96)/設定!$B$45*100)))</f>
        <v/>
      </c>
      <c r="S96" s="25" t="str">
        <f aca="false">IF($C96="","",IFERROR(INDEX(設定!$B$27:$B$29,MATCH($J96,設定!$A$27:$A$29,0)),0))</f>
        <v/>
      </c>
      <c r="T96" s="25" t="str">
        <f aca="false">IF($C96="","",IFERROR(INDEX(設定!$B$32:$B$35,MATCH($K96,設定!$A$32:$A$35,0)),0))</f>
        <v/>
      </c>
      <c r="U96" s="25" t="str">
        <f aca="false">IF($C96="","",IF(N($L96)&lt;1,0,MIN(100,LOG10($L96+1)/LOG10(設定!$B$44+1)*100)))</f>
        <v/>
      </c>
      <c r="V96" s="25" t="str">
        <f aca="false">IF($C96="","",IF(設定!$B$11=0,0,(O96*設定!$B$4+P96*設定!$B$5+Q96*設定!$B$6+R96*設定!$B$7+S96*設定!$B$8+T96*設定!$B$9+U96*設定!$B$10)/設定!$B$11))</f>
        <v/>
      </c>
      <c r="W96" s="25" t="str">
        <f aca="false">IF($C96="","",IFERROR(INDEX(設定!$B$38:$B$40,MATCH($M96,設定!$A$38:$A$40,0)),1))</f>
        <v/>
      </c>
      <c r="X96" s="26" t="str">
        <f aca="false">IF($C96="","",ROUND(V96*W96,1))</f>
        <v/>
      </c>
      <c r="Y96" s="27" t="str">
        <f aca="false">IF($C96="","",INDEX(設定!$B$49:$B$53,MATCH(X96,設定!$A$49:$A$53,1)))</f>
        <v/>
      </c>
    </row>
    <row r="97" customFormat="false" ht="15" hidden="false" customHeight="false" outlineLevel="0" collapsed="false">
      <c r="A97" s="23" t="n">
        <v>93</v>
      </c>
      <c r="B97" s="24"/>
      <c r="C97" s="9"/>
      <c r="D97" s="9"/>
      <c r="E97" s="15"/>
      <c r="F97" s="9"/>
      <c r="G97" s="17"/>
      <c r="H97" s="9"/>
      <c r="I97" s="9"/>
      <c r="J97" s="9"/>
      <c r="K97" s="9"/>
      <c r="L97" s="17"/>
      <c r="M97" s="9"/>
      <c r="N97" s="9"/>
      <c r="O97" s="25" t="str">
        <f aca="false">IF($C97="","",IFERROR(INDEX(設定!$B$14:$B$18,MATCH($E97,設定!$A$14:$A$18,0)),0))</f>
        <v/>
      </c>
      <c r="P97" s="25" t="str">
        <f aca="false">IF($C97="","",IF(N($G97)&lt;=1,0,MIN(100,LOG10($G97)/LOG10(設定!$B$43)*100)))</f>
        <v/>
      </c>
      <c r="Q97" s="25" t="str">
        <f aca="false">IF($C97="","",IFERROR(INDEX(設定!$B$21:$B$24,MATCH($H97,設定!$A$21:$A$24,0)),0))</f>
        <v/>
      </c>
      <c r="R97" s="25" t="str">
        <f aca="false">IF($C97="","",IF(設定!$B$45&lt;=0,0,MIN(100,N($I97)/設定!$B$45*100)))</f>
        <v/>
      </c>
      <c r="S97" s="25" t="str">
        <f aca="false">IF($C97="","",IFERROR(INDEX(設定!$B$27:$B$29,MATCH($J97,設定!$A$27:$A$29,0)),0))</f>
        <v/>
      </c>
      <c r="T97" s="25" t="str">
        <f aca="false">IF($C97="","",IFERROR(INDEX(設定!$B$32:$B$35,MATCH($K97,設定!$A$32:$A$35,0)),0))</f>
        <v/>
      </c>
      <c r="U97" s="25" t="str">
        <f aca="false">IF($C97="","",IF(N($L97)&lt;1,0,MIN(100,LOG10($L97+1)/LOG10(設定!$B$44+1)*100)))</f>
        <v/>
      </c>
      <c r="V97" s="25" t="str">
        <f aca="false">IF($C97="","",IF(設定!$B$11=0,0,(O97*設定!$B$4+P97*設定!$B$5+Q97*設定!$B$6+R97*設定!$B$7+S97*設定!$B$8+T97*設定!$B$9+U97*設定!$B$10)/設定!$B$11))</f>
        <v/>
      </c>
      <c r="W97" s="25" t="str">
        <f aca="false">IF($C97="","",IFERROR(INDEX(設定!$B$38:$B$40,MATCH($M97,設定!$A$38:$A$40,0)),1))</f>
        <v/>
      </c>
      <c r="X97" s="26" t="str">
        <f aca="false">IF($C97="","",ROUND(V97*W97,1))</f>
        <v/>
      </c>
      <c r="Y97" s="27" t="str">
        <f aca="false">IF($C97="","",INDEX(設定!$B$49:$B$53,MATCH(X97,設定!$A$49:$A$53,1)))</f>
        <v/>
      </c>
    </row>
    <row r="98" customFormat="false" ht="15" hidden="false" customHeight="false" outlineLevel="0" collapsed="false">
      <c r="A98" s="23" t="n">
        <v>94</v>
      </c>
      <c r="B98" s="24"/>
      <c r="C98" s="9"/>
      <c r="D98" s="9"/>
      <c r="E98" s="15"/>
      <c r="F98" s="9"/>
      <c r="G98" s="17"/>
      <c r="H98" s="9"/>
      <c r="I98" s="9"/>
      <c r="J98" s="9"/>
      <c r="K98" s="9"/>
      <c r="L98" s="17"/>
      <c r="M98" s="9"/>
      <c r="N98" s="9"/>
      <c r="O98" s="25" t="str">
        <f aca="false">IF($C98="","",IFERROR(INDEX(設定!$B$14:$B$18,MATCH($E98,設定!$A$14:$A$18,0)),0))</f>
        <v/>
      </c>
      <c r="P98" s="25" t="str">
        <f aca="false">IF($C98="","",IF(N($G98)&lt;=1,0,MIN(100,LOG10($G98)/LOG10(設定!$B$43)*100)))</f>
        <v/>
      </c>
      <c r="Q98" s="25" t="str">
        <f aca="false">IF($C98="","",IFERROR(INDEX(設定!$B$21:$B$24,MATCH($H98,設定!$A$21:$A$24,0)),0))</f>
        <v/>
      </c>
      <c r="R98" s="25" t="str">
        <f aca="false">IF($C98="","",IF(設定!$B$45&lt;=0,0,MIN(100,N($I98)/設定!$B$45*100)))</f>
        <v/>
      </c>
      <c r="S98" s="25" t="str">
        <f aca="false">IF($C98="","",IFERROR(INDEX(設定!$B$27:$B$29,MATCH($J98,設定!$A$27:$A$29,0)),0))</f>
        <v/>
      </c>
      <c r="T98" s="25" t="str">
        <f aca="false">IF($C98="","",IFERROR(INDEX(設定!$B$32:$B$35,MATCH($K98,設定!$A$32:$A$35,0)),0))</f>
        <v/>
      </c>
      <c r="U98" s="25" t="str">
        <f aca="false">IF($C98="","",IF(N($L98)&lt;1,0,MIN(100,LOG10($L98+1)/LOG10(設定!$B$44+1)*100)))</f>
        <v/>
      </c>
      <c r="V98" s="25" t="str">
        <f aca="false">IF($C98="","",IF(設定!$B$11=0,0,(O98*設定!$B$4+P98*設定!$B$5+Q98*設定!$B$6+R98*設定!$B$7+S98*設定!$B$8+T98*設定!$B$9+U98*設定!$B$10)/設定!$B$11))</f>
        <v/>
      </c>
      <c r="W98" s="25" t="str">
        <f aca="false">IF($C98="","",IFERROR(INDEX(設定!$B$38:$B$40,MATCH($M98,設定!$A$38:$A$40,0)),1))</f>
        <v/>
      </c>
      <c r="X98" s="26" t="str">
        <f aca="false">IF($C98="","",ROUND(V98*W98,1))</f>
        <v/>
      </c>
      <c r="Y98" s="27" t="str">
        <f aca="false">IF($C98="","",INDEX(設定!$B$49:$B$53,MATCH(X98,設定!$A$49:$A$53,1)))</f>
        <v/>
      </c>
    </row>
    <row r="99" customFormat="false" ht="15" hidden="false" customHeight="false" outlineLevel="0" collapsed="false">
      <c r="A99" s="23" t="n">
        <v>95</v>
      </c>
      <c r="B99" s="24"/>
      <c r="C99" s="9"/>
      <c r="D99" s="9"/>
      <c r="E99" s="15"/>
      <c r="F99" s="9"/>
      <c r="G99" s="17"/>
      <c r="H99" s="9"/>
      <c r="I99" s="9"/>
      <c r="J99" s="9"/>
      <c r="K99" s="9"/>
      <c r="L99" s="17"/>
      <c r="M99" s="9"/>
      <c r="N99" s="9"/>
      <c r="O99" s="25" t="str">
        <f aca="false">IF($C99="","",IFERROR(INDEX(設定!$B$14:$B$18,MATCH($E99,設定!$A$14:$A$18,0)),0))</f>
        <v/>
      </c>
      <c r="P99" s="25" t="str">
        <f aca="false">IF($C99="","",IF(N($G99)&lt;=1,0,MIN(100,LOG10($G99)/LOG10(設定!$B$43)*100)))</f>
        <v/>
      </c>
      <c r="Q99" s="25" t="str">
        <f aca="false">IF($C99="","",IFERROR(INDEX(設定!$B$21:$B$24,MATCH($H99,設定!$A$21:$A$24,0)),0))</f>
        <v/>
      </c>
      <c r="R99" s="25" t="str">
        <f aca="false">IF($C99="","",IF(設定!$B$45&lt;=0,0,MIN(100,N($I99)/設定!$B$45*100)))</f>
        <v/>
      </c>
      <c r="S99" s="25" t="str">
        <f aca="false">IF($C99="","",IFERROR(INDEX(設定!$B$27:$B$29,MATCH($J99,設定!$A$27:$A$29,0)),0))</f>
        <v/>
      </c>
      <c r="T99" s="25" t="str">
        <f aca="false">IF($C99="","",IFERROR(INDEX(設定!$B$32:$B$35,MATCH($K99,設定!$A$32:$A$35,0)),0))</f>
        <v/>
      </c>
      <c r="U99" s="25" t="str">
        <f aca="false">IF($C99="","",IF(N($L99)&lt;1,0,MIN(100,LOG10($L99+1)/LOG10(設定!$B$44+1)*100)))</f>
        <v/>
      </c>
      <c r="V99" s="25" t="str">
        <f aca="false">IF($C99="","",IF(設定!$B$11=0,0,(O99*設定!$B$4+P99*設定!$B$5+Q99*設定!$B$6+R99*設定!$B$7+S99*設定!$B$8+T99*設定!$B$9+U99*設定!$B$10)/設定!$B$11))</f>
        <v/>
      </c>
      <c r="W99" s="25" t="str">
        <f aca="false">IF($C99="","",IFERROR(INDEX(設定!$B$38:$B$40,MATCH($M99,設定!$A$38:$A$40,0)),1))</f>
        <v/>
      </c>
      <c r="X99" s="26" t="str">
        <f aca="false">IF($C99="","",ROUND(V99*W99,1))</f>
        <v/>
      </c>
      <c r="Y99" s="27" t="str">
        <f aca="false">IF($C99="","",INDEX(設定!$B$49:$B$53,MATCH(X99,設定!$A$49:$A$53,1)))</f>
        <v/>
      </c>
    </row>
    <row r="100" customFormat="false" ht="15" hidden="false" customHeight="false" outlineLevel="0" collapsed="false">
      <c r="A100" s="23" t="n">
        <v>96</v>
      </c>
      <c r="B100" s="24"/>
      <c r="C100" s="9"/>
      <c r="D100" s="9"/>
      <c r="E100" s="15"/>
      <c r="F100" s="9"/>
      <c r="G100" s="17"/>
      <c r="H100" s="9"/>
      <c r="I100" s="9"/>
      <c r="J100" s="9"/>
      <c r="K100" s="9"/>
      <c r="L100" s="17"/>
      <c r="M100" s="9"/>
      <c r="N100" s="9"/>
      <c r="O100" s="25" t="str">
        <f aca="false">IF($C100="","",IFERROR(INDEX(設定!$B$14:$B$18,MATCH($E100,設定!$A$14:$A$18,0)),0))</f>
        <v/>
      </c>
      <c r="P100" s="25" t="str">
        <f aca="false">IF($C100="","",IF(N($G100)&lt;=1,0,MIN(100,LOG10($G100)/LOG10(設定!$B$43)*100)))</f>
        <v/>
      </c>
      <c r="Q100" s="25" t="str">
        <f aca="false">IF($C100="","",IFERROR(INDEX(設定!$B$21:$B$24,MATCH($H100,設定!$A$21:$A$24,0)),0))</f>
        <v/>
      </c>
      <c r="R100" s="25" t="str">
        <f aca="false">IF($C100="","",IF(設定!$B$45&lt;=0,0,MIN(100,N($I100)/設定!$B$45*100)))</f>
        <v/>
      </c>
      <c r="S100" s="25" t="str">
        <f aca="false">IF($C100="","",IFERROR(INDEX(設定!$B$27:$B$29,MATCH($J100,設定!$A$27:$A$29,0)),0))</f>
        <v/>
      </c>
      <c r="T100" s="25" t="str">
        <f aca="false">IF($C100="","",IFERROR(INDEX(設定!$B$32:$B$35,MATCH($K100,設定!$A$32:$A$35,0)),0))</f>
        <v/>
      </c>
      <c r="U100" s="25" t="str">
        <f aca="false">IF($C100="","",IF(N($L100)&lt;1,0,MIN(100,LOG10($L100+1)/LOG10(設定!$B$44+1)*100)))</f>
        <v/>
      </c>
      <c r="V100" s="25" t="str">
        <f aca="false">IF($C100="","",IF(設定!$B$11=0,0,(O100*設定!$B$4+P100*設定!$B$5+Q100*設定!$B$6+R100*設定!$B$7+S100*設定!$B$8+T100*設定!$B$9+U100*設定!$B$10)/設定!$B$11))</f>
        <v/>
      </c>
      <c r="W100" s="25" t="str">
        <f aca="false">IF($C100="","",IFERROR(INDEX(設定!$B$38:$B$40,MATCH($M100,設定!$A$38:$A$40,0)),1))</f>
        <v/>
      </c>
      <c r="X100" s="26" t="str">
        <f aca="false">IF($C100="","",ROUND(V100*W100,1))</f>
        <v/>
      </c>
      <c r="Y100" s="27" t="str">
        <f aca="false">IF($C100="","",INDEX(設定!$B$49:$B$53,MATCH(X100,設定!$A$49:$A$53,1)))</f>
        <v/>
      </c>
    </row>
    <row r="101" customFormat="false" ht="15" hidden="false" customHeight="false" outlineLevel="0" collapsed="false">
      <c r="A101" s="23" t="n">
        <v>97</v>
      </c>
      <c r="B101" s="24"/>
      <c r="C101" s="9"/>
      <c r="D101" s="9"/>
      <c r="E101" s="15"/>
      <c r="F101" s="9"/>
      <c r="G101" s="17"/>
      <c r="H101" s="9"/>
      <c r="I101" s="9"/>
      <c r="J101" s="9"/>
      <c r="K101" s="9"/>
      <c r="L101" s="17"/>
      <c r="M101" s="9"/>
      <c r="N101" s="9"/>
      <c r="O101" s="25" t="str">
        <f aca="false">IF($C101="","",IFERROR(INDEX(設定!$B$14:$B$18,MATCH($E101,設定!$A$14:$A$18,0)),0))</f>
        <v/>
      </c>
      <c r="P101" s="25" t="str">
        <f aca="false">IF($C101="","",IF(N($G101)&lt;=1,0,MIN(100,LOG10($G101)/LOG10(設定!$B$43)*100)))</f>
        <v/>
      </c>
      <c r="Q101" s="25" t="str">
        <f aca="false">IF($C101="","",IFERROR(INDEX(設定!$B$21:$B$24,MATCH($H101,設定!$A$21:$A$24,0)),0))</f>
        <v/>
      </c>
      <c r="R101" s="25" t="str">
        <f aca="false">IF($C101="","",IF(設定!$B$45&lt;=0,0,MIN(100,N($I101)/設定!$B$45*100)))</f>
        <v/>
      </c>
      <c r="S101" s="25" t="str">
        <f aca="false">IF($C101="","",IFERROR(INDEX(設定!$B$27:$B$29,MATCH($J101,設定!$A$27:$A$29,0)),0))</f>
        <v/>
      </c>
      <c r="T101" s="25" t="str">
        <f aca="false">IF($C101="","",IFERROR(INDEX(設定!$B$32:$B$35,MATCH($K101,設定!$A$32:$A$35,0)),0))</f>
        <v/>
      </c>
      <c r="U101" s="25" t="str">
        <f aca="false">IF($C101="","",IF(N($L101)&lt;1,0,MIN(100,LOG10($L101+1)/LOG10(設定!$B$44+1)*100)))</f>
        <v/>
      </c>
      <c r="V101" s="25" t="str">
        <f aca="false">IF($C101="","",IF(設定!$B$11=0,0,(O101*設定!$B$4+P101*設定!$B$5+Q101*設定!$B$6+R101*設定!$B$7+S101*設定!$B$8+T101*設定!$B$9+U101*設定!$B$10)/設定!$B$11))</f>
        <v/>
      </c>
      <c r="W101" s="25" t="str">
        <f aca="false">IF($C101="","",IFERROR(INDEX(設定!$B$38:$B$40,MATCH($M101,設定!$A$38:$A$40,0)),1))</f>
        <v/>
      </c>
      <c r="X101" s="26" t="str">
        <f aca="false">IF($C101="","",ROUND(V101*W101,1))</f>
        <v/>
      </c>
      <c r="Y101" s="27" t="str">
        <f aca="false">IF($C101="","",INDEX(設定!$B$49:$B$53,MATCH(X101,設定!$A$49:$A$53,1)))</f>
        <v/>
      </c>
    </row>
    <row r="102" customFormat="false" ht="15" hidden="false" customHeight="false" outlineLevel="0" collapsed="false">
      <c r="A102" s="23" t="n">
        <v>98</v>
      </c>
      <c r="B102" s="24"/>
      <c r="C102" s="9"/>
      <c r="D102" s="9"/>
      <c r="E102" s="15"/>
      <c r="F102" s="9"/>
      <c r="G102" s="17"/>
      <c r="H102" s="9"/>
      <c r="I102" s="9"/>
      <c r="J102" s="9"/>
      <c r="K102" s="9"/>
      <c r="L102" s="17"/>
      <c r="M102" s="9"/>
      <c r="N102" s="9"/>
      <c r="O102" s="25" t="str">
        <f aca="false">IF($C102="","",IFERROR(INDEX(設定!$B$14:$B$18,MATCH($E102,設定!$A$14:$A$18,0)),0))</f>
        <v/>
      </c>
      <c r="P102" s="25" t="str">
        <f aca="false">IF($C102="","",IF(N($G102)&lt;=1,0,MIN(100,LOG10($G102)/LOG10(設定!$B$43)*100)))</f>
        <v/>
      </c>
      <c r="Q102" s="25" t="str">
        <f aca="false">IF($C102="","",IFERROR(INDEX(設定!$B$21:$B$24,MATCH($H102,設定!$A$21:$A$24,0)),0))</f>
        <v/>
      </c>
      <c r="R102" s="25" t="str">
        <f aca="false">IF($C102="","",IF(設定!$B$45&lt;=0,0,MIN(100,N($I102)/設定!$B$45*100)))</f>
        <v/>
      </c>
      <c r="S102" s="25" t="str">
        <f aca="false">IF($C102="","",IFERROR(INDEX(設定!$B$27:$B$29,MATCH($J102,設定!$A$27:$A$29,0)),0))</f>
        <v/>
      </c>
      <c r="T102" s="25" t="str">
        <f aca="false">IF($C102="","",IFERROR(INDEX(設定!$B$32:$B$35,MATCH($K102,設定!$A$32:$A$35,0)),0))</f>
        <v/>
      </c>
      <c r="U102" s="25" t="str">
        <f aca="false">IF($C102="","",IF(N($L102)&lt;1,0,MIN(100,LOG10($L102+1)/LOG10(設定!$B$44+1)*100)))</f>
        <v/>
      </c>
      <c r="V102" s="25" t="str">
        <f aca="false">IF($C102="","",IF(設定!$B$11=0,0,(O102*設定!$B$4+P102*設定!$B$5+Q102*設定!$B$6+R102*設定!$B$7+S102*設定!$B$8+T102*設定!$B$9+U102*設定!$B$10)/設定!$B$11))</f>
        <v/>
      </c>
      <c r="W102" s="25" t="str">
        <f aca="false">IF($C102="","",IFERROR(INDEX(設定!$B$38:$B$40,MATCH($M102,設定!$A$38:$A$40,0)),1))</f>
        <v/>
      </c>
      <c r="X102" s="26" t="str">
        <f aca="false">IF($C102="","",ROUND(V102*W102,1))</f>
        <v/>
      </c>
      <c r="Y102" s="27" t="str">
        <f aca="false">IF($C102="","",INDEX(設定!$B$49:$B$53,MATCH(X102,設定!$A$49:$A$53,1)))</f>
        <v/>
      </c>
    </row>
    <row r="103" customFormat="false" ht="15" hidden="false" customHeight="false" outlineLevel="0" collapsed="false">
      <c r="A103" s="23" t="n">
        <v>99</v>
      </c>
      <c r="B103" s="24"/>
      <c r="C103" s="9"/>
      <c r="D103" s="9"/>
      <c r="E103" s="15"/>
      <c r="F103" s="9"/>
      <c r="G103" s="17"/>
      <c r="H103" s="9"/>
      <c r="I103" s="9"/>
      <c r="J103" s="9"/>
      <c r="K103" s="9"/>
      <c r="L103" s="17"/>
      <c r="M103" s="9"/>
      <c r="N103" s="9"/>
      <c r="O103" s="25" t="str">
        <f aca="false">IF($C103="","",IFERROR(INDEX(設定!$B$14:$B$18,MATCH($E103,設定!$A$14:$A$18,0)),0))</f>
        <v/>
      </c>
      <c r="P103" s="25" t="str">
        <f aca="false">IF($C103="","",IF(N($G103)&lt;=1,0,MIN(100,LOG10($G103)/LOG10(設定!$B$43)*100)))</f>
        <v/>
      </c>
      <c r="Q103" s="25" t="str">
        <f aca="false">IF($C103="","",IFERROR(INDEX(設定!$B$21:$B$24,MATCH($H103,設定!$A$21:$A$24,0)),0))</f>
        <v/>
      </c>
      <c r="R103" s="25" t="str">
        <f aca="false">IF($C103="","",IF(設定!$B$45&lt;=0,0,MIN(100,N($I103)/設定!$B$45*100)))</f>
        <v/>
      </c>
      <c r="S103" s="25" t="str">
        <f aca="false">IF($C103="","",IFERROR(INDEX(設定!$B$27:$B$29,MATCH($J103,設定!$A$27:$A$29,0)),0))</f>
        <v/>
      </c>
      <c r="T103" s="25" t="str">
        <f aca="false">IF($C103="","",IFERROR(INDEX(設定!$B$32:$B$35,MATCH($K103,設定!$A$32:$A$35,0)),0))</f>
        <v/>
      </c>
      <c r="U103" s="25" t="str">
        <f aca="false">IF($C103="","",IF(N($L103)&lt;1,0,MIN(100,LOG10($L103+1)/LOG10(設定!$B$44+1)*100)))</f>
        <v/>
      </c>
      <c r="V103" s="25" t="str">
        <f aca="false">IF($C103="","",IF(設定!$B$11=0,0,(O103*設定!$B$4+P103*設定!$B$5+Q103*設定!$B$6+R103*設定!$B$7+S103*設定!$B$8+T103*設定!$B$9+U103*設定!$B$10)/設定!$B$11))</f>
        <v/>
      </c>
      <c r="W103" s="25" t="str">
        <f aca="false">IF($C103="","",IFERROR(INDEX(設定!$B$38:$B$40,MATCH($M103,設定!$A$38:$A$40,0)),1))</f>
        <v/>
      </c>
      <c r="X103" s="26" t="str">
        <f aca="false">IF($C103="","",ROUND(V103*W103,1))</f>
        <v/>
      </c>
      <c r="Y103" s="27" t="str">
        <f aca="false">IF($C103="","",INDEX(設定!$B$49:$B$53,MATCH(X103,設定!$A$49:$A$53,1)))</f>
        <v/>
      </c>
    </row>
    <row r="104" customFormat="false" ht="15" hidden="false" customHeight="false" outlineLevel="0" collapsed="false">
      <c r="A104" s="23" t="n">
        <v>100</v>
      </c>
      <c r="B104" s="24"/>
      <c r="C104" s="9"/>
      <c r="D104" s="9"/>
      <c r="E104" s="15"/>
      <c r="F104" s="9"/>
      <c r="G104" s="17"/>
      <c r="H104" s="9"/>
      <c r="I104" s="9"/>
      <c r="J104" s="9"/>
      <c r="K104" s="9"/>
      <c r="L104" s="17"/>
      <c r="M104" s="9"/>
      <c r="N104" s="9"/>
      <c r="O104" s="25" t="str">
        <f aca="false">IF($C104="","",IFERROR(INDEX(設定!$B$14:$B$18,MATCH($E104,設定!$A$14:$A$18,0)),0))</f>
        <v/>
      </c>
      <c r="P104" s="25" t="str">
        <f aca="false">IF($C104="","",IF(N($G104)&lt;=1,0,MIN(100,LOG10($G104)/LOG10(設定!$B$43)*100)))</f>
        <v/>
      </c>
      <c r="Q104" s="25" t="str">
        <f aca="false">IF($C104="","",IFERROR(INDEX(設定!$B$21:$B$24,MATCH($H104,設定!$A$21:$A$24,0)),0))</f>
        <v/>
      </c>
      <c r="R104" s="25" t="str">
        <f aca="false">IF($C104="","",IF(設定!$B$45&lt;=0,0,MIN(100,N($I104)/設定!$B$45*100)))</f>
        <v/>
      </c>
      <c r="S104" s="25" t="str">
        <f aca="false">IF($C104="","",IFERROR(INDEX(設定!$B$27:$B$29,MATCH($J104,設定!$A$27:$A$29,0)),0))</f>
        <v/>
      </c>
      <c r="T104" s="25" t="str">
        <f aca="false">IF($C104="","",IFERROR(INDEX(設定!$B$32:$B$35,MATCH($K104,設定!$A$32:$A$35,0)),0))</f>
        <v/>
      </c>
      <c r="U104" s="25" t="str">
        <f aca="false">IF($C104="","",IF(N($L104)&lt;1,0,MIN(100,LOG10($L104+1)/LOG10(設定!$B$44+1)*100)))</f>
        <v/>
      </c>
      <c r="V104" s="25" t="str">
        <f aca="false">IF($C104="","",IF(設定!$B$11=0,0,(O104*設定!$B$4+P104*設定!$B$5+Q104*設定!$B$6+R104*設定!$B$7+S104*設定!$B$8+T104*設定!$B$9+U104*設定!$B$10)/設定!$B$11))</f>
        <v/>
      </c>
      <c r="W104" s="25" t="str">
        <f aca="false">IF($C104="","",IFERROR(INDEX(設定!$B$38:$B$40,MATCH($M104,設定!$A$38:$A$40,0)),1))</f>
        <v/>
      </c>
      <c r="X104" s="26" t="str">
        <f aca="false">IF($C104="","",ROUND(V104*W104,1))</f>
        <v/>
      </c>
      <c r="Y104" s="27" t="str">
        <f aca="false">IF($C104="","",INDEX(設定!$B$49:$B$53,MATCH(X104,設定!$A$49:$A$53,1)))</f>
        <v/>
      </c>
    </row>
    <row r="105" customFormat="false" ht="15" hidden="false" customHeight="false" outlineLevel="0" collapsed="false">
      <c r="A105" s="23" t="n">
        <v>101</v>
      </c>
      <c r="B105" s="24"/>
      <c r="C105" s="9"/>
      <c r="D105" s="9"/>
      <c r="E105" s="15"/>
      <c r="F105" s="9"/>
      <c r="G105" s="17"/>
      <c r="H105" s="9"/>
      <c r="I105" s="9"/>
      <c r="J105" s="9"/>
      <c r="K105" s="9"/>
      <c r="L105" s="17"/>
      <c r="M105" s="9"/>
      <c r="N105" s="9"/>
      <c r="O105" s="25" t="str">
        <f aca="false">IF($C105="","",IFERROR(INDEX(設定!$B$14:$B$18,MATCH($E105,設定!$A$14:$A$18,0)),0))</f>
        <v/>
      </c>
      <c r="P105" s="25" t="str">
        <f aca="false">IF($C105="","",IF(N($G105)&lt;=1,0,MIN(100,LOG10($G105)/LOG10(設定!$B$43)*100)))</f>
        <v/>
      </c>
      <c r="Q105" s="25" t="str">
        <f aca="false">IF($C105="","",IFERROR(INDEX(設定!$B$21:$B$24,MATCH($H105,設定!$A$21:$A$24,0)),0))</f>
        <v/>
      </c>
      <c r="R105" s="25" t="str">
        <f aca="false">IF($C105="","",IF(設定!$B$45&lt;=0,0,MIN(100,N($I105)/設定!$B$45*100)))</f>
        <v/>
      </c>
      <c r="S105" s="25" t="str">
        <f aca="false">IF($C105="","",IFERROR(INDEX(設定!$B$27:$B$29,MATCH($J105,設定!$A$27:$A$29,0)),0))</f>
        <v/>
      </c>
      <c r="T105" s="25" t="str">
        <f aca="false">IF($C105="","",IFERROR(INDEX(設定!$B$32:$B$35,MATCH($K105,設定!$A$32:$A$35,0)),0))</f>
        <v/>
      </c>
      <c r="U105" s="25" t="str">
        <f aca="false">IF($C105="","",IF(N($L105)&lt;1,0,MIN(100,LOG10($L105+1)/LOG10(設定!$B$44+1)*100)))</f>
        <v/>
      </c>
      <c r="V105" s="25" t="str">
        <f aca="false">IF($C105="","",IF(設定!$B$11=0,0,(O105*設定!$B$4+P105*設定!$B$5+Q105*設定!$B$6+R105*設定!$B$7+S105*設定!$B$8+T105*設定!$B$9+U105*設定!$B$10)/設定!$B$11))</f>
        <v/>
      </c>
      <c r="W105" s="25" t="str">
        <f aca="false">IF($C105="","",IFERROR(INDEX(設定!$B$38:$B$40,MATCH($M105,設定!$A$38:$A$40,0)),1))</f>
        <v/>
      </c>
      <c r="X105" s="26" t="str">
        <f aca="false">IF($C105="","",ROUND(V105*W105,1))</f>
        <v/>
      </c>
      <c r="Y105" s="27" t="str">
        <f aca="false">IF($C105="","",INDEX(設定!$B$49:$B$53,MATCH(X105,設定!$A$49:$A$53,1)))</f>
        <v/>
      </c>
    </row>
    <row r="106" customFormat="false" ht="15" hidden="false" customHeight="false" outlineLevel="0" collapsed="false">
      <c r="A106" s="23" t="n">
        <v>102</v>
      </c>
      <c r="B106" s="24"/>
      <c r="C106" s="9"/>
      <c r="D106" s="9"/>
      <c r="E106" s="15"/>
      <c r="F106" s="9"/>
      <c r="G106" s="17"/>
      <c r="H106" s="9"/>
      <c r="I106" s="9"/>
      <c r="J106" s="9"/>
      <c r="K106" s="9"/>
      <c r="L106" s="17"/>
      <c r="M106" s="9"/>
      <c r="N106" s="9"/>
      <c r="O106" s="25" t="str">
        <f aca="false">IF($C106="","",IFERROR(INDEX(設定!$B$14:$B$18,MATCH($E106,設定!$A$14:$A$18,0)),0))</f>
        <v/>
      </c>
      <c r="P106" s="25" t="str">
        <f aca="false">IF($C106="","",IF(N($G106)&lt;=1,0,MIN(100,LOG10($G106)/LOG10(設定!$B$43)*100)))</f>
        <v/>
      </c>
      <c r="Q106" s="25" t="str">
        <f aca="false">IF($C106="","",IFERROR(INDEX(設定!$B$21:$B$24,MATCH($H106,設定!$A$21:$A$24,0)),0))</f>
        <v/>
      </c>
      <c r="R106" s="25" t="str">
        <f aca="false">IF($C106="","",IF(設定!$B$45&lt;=0,0,MIN(100,N($I106)/設定!$B$45*100)))</f>
        <v/>
      </c>
      <c r="S106" s="25" t="str">
        <f aca="false">IF($C106="","",IFERROR(INDEX(設定!$B$27:$B$29,MATCH($J106,設定!$A$27:$A$29,0)),0))</f>
        <v/>
      </c>
      <c r="T106" s="25" t="str">
        <f aca="false">IF($C106="","",IFERROR(INDEX(設定!$B$32:$B$35,MATCH($K106,設定!$A$32:$A$35,0)),0))</f>
        <v/>
      </c>
      <c r="U106" s="25" t="str">
        <f aca="false">IF($C106="","",IF(N($L106)&lt;1,0,MIN(100,LOG10($L106+1)/LOG10(設定!$B$44+1)*100)))</f>
        <v/>
      </c>
      <c r="V106" s="25" t="str">
        <f aca="false">IF($C106="","",IF(設定!$B$11=0,0,(O106*設定!$B$4+P106*設定!$B$5+Q106*設定!$B$6+R106*設定!$B$7+S106*設定!$B$8+T106*設定!$B$9+U106*設定!$B$10)/設定!$B$11))</f>
        <v/>
      </c>
      <c r="W106" s="25" t="str">
        <f aca="false">IF($C106="","",IFERROR(INDEX(設定!$B$38:$B$40,MATCH($M106,設定!$A$38:$A$40,0)),1))</f>
        <v/>
      </c>
      <c r="X106" s="26" t="str">
        <f aca="false">IF($C106="","",ROUND(V106*W106,1))</f>
        <v/>
      </c>
      <c r="Y106" s="27" t="str">
        <f aca="false">IF($C106="","",INDEX(設定!$B$49:$B$53,MATCH(X106,設定!$A$49:$A$53,1)))</f>
        <v/>
      </c>
    </row>
    <row r="107" customFormat="false" ht="15" hidden="false" customHeight="false" outlineLevel="0" collapsed="false">
      <c r="A107" s="23" t="n">
        <v>103</v>
      </c>
      <c r="B107" s="24"/>
      <c r="C107" s="9"/>
      <c r="D107" s="9"/>
      <c r="E107" s="15"/>
      <c r="F107" s="9"/>
      <c r="G107" s="17"/>
      <c r="H107" s="9"/>
      <c r="I107" s="9"/>
      <c r="J107" s="9"/>
      <c r="K107" s="9"/>
      <c r="L107" s="17"/>
      <c r="M107" s="9"/>
      <c r="N107" s="9"/>
      <c r="O107" s="25" t="str">
        <f aca="false">IF($C107="","",IFERROR(INDEX(設定!$B$14:$B$18,MATCH($E107,設定!$A$14:$A$18,0)),0))</f>
        <v/>
      </c>
      <c r="P107" s="25" t="str">
        <f aca="false">IF($C107="","",IF(N($G107)&lt;=1,0,MIN(100,LOG10($G107)/LOG10(設定!$B$43)*100)))</f>
        <v/>
      </c>
      <c r="Q107" s="25" t="str">
        <f aca="false">IF($C107="","",IFERROR(INDEX(設定!$B$21:$B$24,MATCH($H107,設定!$A$21:$A$24,0)),0))</f>
        <v/>
      </c>
      <c r="R107" s="25" t="str">
        <f aca="false">IF($C107="","",IF(設定!$B$45&lt;=0,0,MIN(100,N($I107)/設定!$B$45*100)))</f>
        <v/>
      </c>
      <c r="S107" s="25" t="str">
        <f aca="false">IF($C107="","",IFERROR(INDEX(設定!$B$27:$B$29,MATCH($J107,設定!$A$27:$A$29,0)),0))</f>
        <v/>
      </c>
      <c r="T107" s="25" t="str">
        <f aca="false">IF($C107="","",IFERROR(INDEX(設定!$B$32:$B$35,MATCH($K107,設定!$A$32:$A$35,0)),0))</f>
        <v/>
      </c>
      <c r="U107" s="25" t="str">
        <f aca="false">IF($C107="","",IF(N($L107)&lt;1,0,MIN(100,LOG10($L107+1)/LOG10(設定!$B$44+1)*100)))</f>
        <v/>
      </c>
      <c r="V107" s="25" t="str">
        <f aca="false">IF($C107="","",IF(設定!$B$11=0,0,(O107*設定!$B$4+P107*設定!$B$5+Q107*設定!$B$6+R107*設定!$B$7+S107*設定!$B$8+T107*設定!$B$9+U107*設定!$B$10)/設定!$B$11))</f>
        <v/>
      </c>
      <c r="W107" s="25" t="str">
        <f aca="false">IF($C107="","",IFERROR(INDEX(設定!$B$38:$B$40,MATCH($M107,設定!$A$38:$A$40,0)),1))</f>
        <v/>
      </c>
      <c r="X107" s="26" t="str">
        <f aca="false">IF($C107="","",ROUND(V107*W107,1))</f>
        <v/>
      </c>
      <c r="Y107" s="27" t="str">
        <f aca="false">IF($C107="","",INDEX(設定!$B$49:$B$53,MATCH(X107,設定!$A$49:$A$53,1)))</f>
        <v/>
      </c>
    </row>
    <row r="108" customFormat="false" ht="15" hidden="false" customHeight="false" outlineLevel="0" collapsed="false">
      <c r="A108" s="23" t="n">
        <v>104</v>
      </c>
      <c r="B108" s="24"/>
      <c r="C108" s="9"/>
      <c r="D108" s="9"/>
      <c r="E108" s="15"/>
      <c r="F108" s="9"/>
      <c r="G108" s="17"/>
      <c r="H108" s="9"/>
      <c r="I108" s="9"/>
      <c r="J108" s="9"/>
      <c r="K108" s="9"/>
      <c r="L108" s="17"/>
      <c r="M108" s="9"/>
      <c r="N108" s="9"/>
      <c r="O108" s="25" t="str">
        <f aca="false">IF($C108="","",IFERROR(INDEX(設定!$B$14:$B$18,MATCH($E108,設定!$A$14:$A$18,0)),0))</f>
        <v/>
      </c>
      <c r="P108" s="25" t="str">
        <f aca="false">IF($C108="","",IF(N($G108)&lt;=1,0,MIN(100,LOG10($G108)/LOG10(設定!$B$43)*100)))</f>
        <v/>
      </c>
      <c r="Q108" s="25" t="str">
        <f aca="false">IF($C108="","",IFERROR(INDEX(設定!$B$21:$B$24,MATCH($H108,設定!$A$21:$A$24,0)),0))</f>
        <v/>
      </c>
      <c r="R108" s="25" t="str">
        <f aca="false">IF($C108="","",IF(設定!$B$45&lt;=0,0,MIN(100,N($I108)/設定!$B$45*100)))</f>
        <v/>
      </c>
      <c r="S108" s="25" t="str">
        <f aca="false">IF($C108="","",IFERROR(INDEX(設定!$B$27:$B$29,MATCH($J108,設定!$A$27:$A$29,0)),0))</f>
        <v/>
      </c>
      <c r="T108" s="25" t="str">
        <f aca="false">IF($C108="","",IFERROR(INDEX(設定!$B$32:$B$35,MATCH($K108,設定!$A$32:$A$35,0)),0))</f>
        <v/>
      </c>
      <c r="U108" s="25" t="str">
        <f aca="false">IF($C108="","",IF(N($L108)&lt;1,0,MIN(100,LOG10($L108+1)/LOG10(設定!$B$44+1)*100)))</f>
        <v/>
      </c>
      <c r="V108" s="25" t="str">
        <f aca="false">IF($C108="","",IF(設定!$B$11=0,0,(O108*設定!$B$4+P108*設定!$B$5+Q108*設定!$B$6+R108*設定!$B$7+S108*設定!$B$8+T108*設定!$B$9+U108*設定!$B$10)/設定!$B$11))</f>
        <v/>
      </c>
      <c r="W108" s="25" t="str">
        <f aca="false">IF($C108="","",IFERROR(INDEX(設定!$B$38:$B$40,MATCH($M108,設定!$A$38:$A$40,0)),1))</f>
        <v/>
      </c>
      <c r="X108" s="26" t="str">
        <f aca="false">IF($C108="","",ROUND(V108*W108,1))</f>
        <v/>
      </c>
      <c r="Y108" s="27" t="str">
        <f aca="false">IF($C108="","",INDEX(設定!$B$49:$B$53,MATCH(X108,設定!$A$49:$A$53,1)))</f>
        <v/>
      </c>
    </row>
    <row r="109" customFormat="false" ht="15" hidden="false" customHeight="false" outlineLevel="0" collapsed="false">
      <c r="A109" s="23" t="n">
        <v>105</v>
      </c>
      <c r="B109" s="24"/>
      <c r="C109" s="9"/>
      <c r="D109" s="9"/>
      <c r="E109" s="15"/>
      <c r="F109" s="9"/>
      <c r="G109" s="17"/>
      <c r="H109" s="9"/>
      <c r="I109" s="9"/>
      <c r="J109" s="9"/>
      <c r="K109" s="9"/>
      <c r="L109" s="17"/>
      <c r="M109" s="9"/>
      <c r="N109" s="9"/>
      <c r="O109" s="25" t="str">
        <f aca="false">IF($C109="","",IFERROR(INDEX(設定!$B$14:$B$18,MATCH($E109,設定!$A$14:$A$18,0)),0))</f>
        <v/>
      </c>
      <c r="P109" s="25" t="str">
        <f aca="false">IF($C109="","",IF(N($G109)&lt;=1,0,MIN(100,LOG10($G109)/LOG10(設定!$B$43)*100)))</f>
        <v/>
      </c>
      <c r="Q109" s="25" t="str">
        <f aca="false">IF($C109="","",IFERROR(INDEX(設定!$B$21:$B$24,MATCH($H109,設定!$A$21:$A$24,0)),0))</f>
        <v/>
      </c>
      <c r="R109" s="25" t="str">
        <f aca="false">IF($C109="","",IF(設定!$B$45&lt;=0,0,MIN(100,N($I109)/設定!$B$45*100)))</f>
        <v/>
      </c>
      <c r="S109" s="25" t="str">
        <f aca="false">IF($C109="","",IFERROR(INDEX(設定!$B$27:$B$29,MATCH($J109,設定!$A$27:$A$29,0)),0))</f>
        <v/>
      </c>
      <c r="T109" s="25" t="str">
        <f aca="false">IF($C109="","",IFERROR(INDEX(設定!$B$32:$B$35,MATCH($K109,設定!$A$32:$A$35,0)),0))</f>
        <v/>
      </c>
      <c r="U109" s="25" t="str">
        <f aca="false">IF($C109="","",IF(N($L109)&lt;1,0,MIN(100,LOG10($L109+1)/LOG10(設定!$B$44+1)*100)))</f>
        <v/>
      </c>
      <c r="V109" s="25" t="str">
        <f aca="false">IF($C109="","",IF(設定!$B$11=0,0,(O109*設定!$B$4+P109*設定!$B$5+Q109*設定!$B$6+R109*設定!$B$7+S109*設定!$B$8+T109*設定!$B$9+U109*設定!$B$10)/設定!$B$11))</f>
        <v/>
      </c>
      <c r="W109" s="25" t="str">
        <f aca="false">IF($C109="","",IFERROR(INDEX(設定!$B$38:$B$40,MATCH($M109,設定!$A$38:$A$40,0)),1))</f>
        <v/>
      </c>
      <c r="X109" s="26" t="str">
        <f aca="false">IF($C109="","",ROUND(V109*W109,1))</f>
        <v/>
      </c>
      <c r="Y109" s="27" t="str">
        <f aca="false">IF($C109="","",INDEX(設定!$B$49:$B$53,MATCH(X109,設定!$A$49:$A$53,1)))</f>
        <v/>
      </c>
    </row>
    <row r="110" customFormat="false" ht="15" hidden="false" customHeight="false" outlineLevel="0" collapsed="false">
      <c r="A110" s="23" t="n">
        <v>106</v>
      </c>
      <c r="B110" s="24"/>
      <c r="C110" s="9"/>
      <c r="D110" s="9"/>
      <c r="E110" s="15"/>
      <c r="F110" s="9"/>
      <c r="G110" s="17"/>
      <c r="H110" s="9"/>
      <c r="I110" s="9"/>
      <c r="J110" s="9"/>
      <c r="K110" s="9"/>
      <c r="L110" s="17"/>
      <c r="M110" s="9"/>
      <c r="N110" s="9"/>
      <c r="O110" s="25" t="str">
        <f aca="false">IF($C110="","",IFERROR(INDEX(設定!$B$14:$B$18,MATCH($E110,設定!$A$14:$A$18,0)),0))</f>
        <v/>
      </c>
      <c r="P110" s="25" t="str">
        <f aca="false">IF($C110="","",IF(N($G110)&lt;=1,0,MIN(100,LOG10($G110)/LOG10(設定!$B$43)*100)))</f>
        <v/>
      </c>
      <c r="Q110" s="25" t="str">
        <f aca="false">IF($C110="","",IFERROR(INDEX(設定!$B$21:$B$24,MATCH($H110,設定!$A$21:$A$24,0)),0))</f>
        <v/>
      </c>
      <c r="R110" s="25" t="str">
        <f aca="false">IF($C110="","",IF(設定!$B$45&lt;=0,0,MIN(100,N($I110)/設定!$B$45*100)))</f>
        <v/>
      </c>
      <c r="S110" s="25" t="str">
        <f aca="false">IF($C110="","",IFERROR(INDEX(設定!$B$27:$B$29,MATCH($J110,設定!$A$27:$A$29,0)),0))</f>
        <v/>
      </c>
      <c r="T110" s="25" t="str">
        <f aca="false">IF($C110="","",IFERROR(INDEX(設定!$B$32:$B$35,MATCH($K110,設定!$A$32:$A$35,0)),0))</f>
        <v/>
      </c>
      <c r="U110" s="25" t="str">
        <f aca="false">IF($C110="","",IF(N($L110)&lt;1,0,MIN(100,LOG10($L110+1)/LOG10(設定!$B$44+1)*100)))</f>
        <v/>
      </c>
      <c r="V110" s="25" t="str">
        <f aca="false">IF($C110="","",IF(設定!$B$11=0,0,(O110*設定!$B$4+P110*設定!$B$5+Q110*設定!$B$6+R110*設定!$B$7+S110*設定!$B$8+T110*設定!$B$9+U110*設定!$B$10)/設定!$B$11))</f>
        <v/>
      </c>
      <c r="W110" s="25" t="str">
        <f aca="false">IF($C110="","",IFERROR(INDEX(設定!$B$38:$B$40,MATCH($M110,設定!$A$38:$A$40,0)),1))</f>
        <v/>
      </c>
      <c r="X110" s="26" t="str">
        <f aca="false">IF($C110="","",ROUND(V110*W110,1))</f>
        <v/>
      </c>
      <c r="Y110" s="27" t="str">
        <f aca="false">IF($C110="","",INDEX(設定!$B$49:$B$53,MATCH(X110,設定!$A$49:$A$53,1)))</f>
        <v/>
      </c>
    </row>
    <row r="111" customFormat="false" ht="15" hidden="false" customHeight="false" outlineLevel="0" collapsed="false">
      <c r="A111" s="23" t="n">
        <v>107</v>
      </c>
      <c r="B111" s="24"/>
      <c r="C111" s="9"/>
      <c r="D111" s="9"/>
      <c r="E111" s="15"/>
      <c r="F111" s="9"/>
      <c r="G111" s="17"/>
      <c r="H111" s="9"/>
      <c r="I111" s="9"/>
      <c r="J111" s="9"/>
      <c r="K111" s="9"/>
      <c r="L111" s="17"/>
      <c r="M111" s="9"/>
      <c r="N111" s="9"/>
      <c r="O111" s="25" t="str">
        <f aca="false">IF($C111="","",IFERROR(INDEX(設定!$B$14:$B$18,MATCH($E111,設定!$A$14:$A$18,0)),0))</f>
        <v/>
      </c>
      <c r="P111" s="25" t="str">
        <f aca="false">IF($C111="","",IF(N($G111)&lt;=1,0,MIN(100,LOG10($G111)/LOG10(設定!$B$43)*100)))</f>
        <v/>
      </c>
      <c r="Q111" s="25" t="str">
        <f aca="false">IF($C111="","",IFERROR(INDEX(設定!$B$21:$B$24,MATCH($H111,設定!$A$21:$A$24,0)),0))</f>
        <v/>
      </c>
      <c r="R111" s="25" t="str">
        <f aca="false">IF($C111="","",IF(設定!$B$45&lt;=0,0,MIN(100,N($I111)/設定!$B$45*100)))</f>
        <v/>
      </c>
      <c r="S111" s="25" t="str">
        <f aca="false">IF($C111="","",IFERROR(INDEX(設定!$B$27:$B$29,MATCH($J111,設定!$A$27:$A$29,0)),0))</f>
        <v/>
      </c>
      <c r="T111" s="25" t="str">
        <f aca="false">IF($C111="","",IFERROR(INDEX(設定!$B$32:$B$35,MATCH($K111,設定!$A$32:$A$35,0)),0))</f>
        <v/>
      </c>
      <c r="U111" s="25" t="str">
        <f aca="false">IF($C111="","",IF(N($L111)&lt;1,0,MIN(100,LOG10($L111+1)/LOG10(設定!$B$44+1)*100)))</f>
        <v/>
      </c>
      <c r="V111" s="25" t="str">
        <f aca="false">IF($C111="","",IF(設定!$B$11=0,0,(O111*設定!$B$4+P111*設定!$B$5+Q111*設定!$B$6+R111*設定!$B$7+S111*設定!$B$8+T111*設定!$B$9+U111*設定!$B$10)/設定!$B$11))</f>
        <v/>
      </c>
      <c r="W111" s="25" t="str">
        <f aca="false">IF($C111="","",IFERROR(INDEX(設定!$B$38:$B$40,MATCH($M111,設定!$A$38:$A$40,0)),1))</f>
        <v/>
      </c>
      <c r="X111" s="26" t="str">
        <f aca="false">IF($C111="","",ROUND(V111*W111,1))</f>
        <v/>
      </c>
      <c r="Y111" s="27" t="str">
        <f aca="false">IF($C111="","",INDEX(設定!$B$49:$B$53,MATCH(X111,設定!$A$49:$A$53,1)))</f>
        <v/>
      </c>
    </row>
    <row r="112" customFormat="false" ht="15" hidden="false" customHeight="false" outlineLevel="0" collapsed="false">
      <c r="A112" s="23" t="n">
        <v>108</v>
      </c>
      <c r="B112" s="24"/>
      <c r="C112" s="9"/>
      <c r="D112" s="9"/>
      <c r="E112" s="15"/>
      <c r="F112" s="9"/>
      <c r="G112" s="17"/>
      <c r="H112" s="9"/>
      <c r="I112" s="9"/>
      <c r="J112" s="9"/>
      <c r="K112" s="9"/>
      <c r="L112" s="17"/>
      <c r="M112" s="9"/>
      <c r="N112" s="9"/>
      <c r="O112" s="25" t="str">
        <f aca="false">IF($C112="","",IFERROR(INDEX(設定!$B$14:$B$18,MATCH($E112,設定!$A$14:$A$18,0)),0))</f>
        <v/>
      </c>
      <c r="P112" s="25" t="str">
        <f aca="false">IF($C112="","",IF(N($G112)&lt;=1,0,MIN(100,LOG10($G112)/LOG10(設定!$B$43)*100)))</f>
        <v/>
      </c>
      <c r="Q112" s="25" t="str">
        <f aca="false">IF($C112="","",IFERROR(INDEX(設定!$B$21:$B$24,MATCH($H112,設定!$A$21:$A$24,0)),0))</f>
        <v/>
      </c>
      <c r="R112" s="25" t="str">
        <f aca="false">IF($C112="","",IF(設定!$B$45&lt;=0,0,MIN(100,N($I112)/設定!$B$45*100)))</f>
        <v/>
      </c>
      <c r="S112" s="25" t="str">
        <f aca="false">IF($C112="","",IFERROR(INDEX(設定!$B$27:$B$29,MATCH($J112,設定!$A$27:$A$29,0)),0))</f>
        <v/>
      </c>
      <c r="T112" s="25" t="str">
        <f aca="false">IF($C112="","",IFERROR(INDEX(設定!$B$32:$B$35,MATCH($K112,設定!$A$32:$A$35,0)),0))</f>
        <v/>
      </c>
      <c r="U112" s="25" t="str">
        <f aca="false">IF($C112="","",IF(N($L112)&lt;1,0,MIN(100,LOG10($L112+1)/LOG10(設定!$B$44+1)*100)))</f>
        <v/>
      </c>
      <c r="V112" s="25" t="str">
        <f aca="false">IF($C112="","",IF(設定!$B$11=0,0,(O112*設定!$B$4+P112*設定!$B$5+Q112*設定!$B$6+R112*設定!$B$7+S112*設定!$B$8+T112*設定!$B$9+U112*設定!$B$10)/設定!$B$11))</f>
        <v/>
      </c>
      <c r="W112" s="25" t="str">
        <f aca="false">IF($C112="","",IFERROR(INDEX(設定!$B$38:$B$40,MATCH($M112,設定!$A$38:$A$40,0)),1))</f>
        <v/>
      </c>
      <c r="X112" s="26" t="str">
        <f aca="false">IF($C112="","",ROUND(V112*W112,1))</f>
        <v/>
      </c>
      <c r="Y112" s="27" t="str">
        <f aca="false">IF($C112="","",INDEX(設定!$B$49:$B$53,MATCH(X112,設定!$A$49:$A$53,1)))</f>
        <v/>
      </c>
    </row>
    <row r="113" customFormat="false" ht="15" hidden="false" customHeight="false" outlineLevel="0" collapsed="false">
      <c r="A113" s="23" t="n">
        <v>109</v>
      </c>
      <c r="B113" s="24"/>
      <c r="C113" s="9"/>
      <c r="D113" s="9"/>
      <c r="E113" s="15"/>
      <c r="F113" s="9"/>
      <c r="G113" s="17"/>
      <c r="H113" s="9"/>
      <c r="I113" s="9"/>
      <c r="J113" s="9"/>
      <c r="K113" s="9"/>
      <c r="L113" s="17"/>
      <c r="M113" s="9"/>
      <c r="N113" s="9"/>
      <c r="O113" s="25" t="str">
        <f aca="false">IF($C113="","",IFERROR(INDEX(設定!$B$14:$B$18,MATCH($E113,設定!$A$14:$A$18,0)),0))</f>
        <v/>
      </c>
      <c r="P113" s="25" t="str">
        <f aca="false">IF($C113="","",IF(N($G113)&lt;=1,0,MIN(100,LOG10($G113)/LOG10(設定!$B$43)*100)))</f>
        <v/>
      </c>
      <c r="Q113" s="25" t="str">
        <f aca="false">IF($C113="","",IFERROR(INDEX(設定!$B$21:$B$24,MATCH($H113,設定!$A$21:$A$24,0)),0))</f>
        <v/>
      </c>
      <c r="R113" s="25" t="str">
        <f aca="false">IF($C113="","",IF(設定!$B$45&lt;=0,0,MIN(100,N($I113)/設定!$B$45*100)))</f>
        <v/>
      </c>
      <c r="S113" s="25" t="str">
        <f aca="false">IF($C113="","",IFERROR(INDEX(設定!$B$27:$B$29,MATCH($J113,設定!$A$27:$A$29,0)),0))</f>
        <v/>
      </c>
      <c r="T113" s="25" t="str">
        <f aca="false">IF($C113="","",IFERROR(INDEX(設定!$B$32:$B$35,MATCH($K113,設定!$A$32:$A$35,0)),0))</f>
        <v/>
      </c>
      <c r="U113" s="25" t="str">
        <f aca="false">IF($C113="","",IF(N($L113)&lt;1,0,MIN(100,LOG10($L113+1)/LOG10(設定!$B$44+1)*100)))</f>
        <v/>
      </c>
      <c r="V113" s="25" t="str">
        <f aca="false">IF($C113="","",IF(設定!$B$11=0,0,(O113*設定!$B$4+P113*設定!$B$5+Q113*設定!$B$6+R113*設定!$B$7+S113*設定!$B$8+T113*設定!$B$9+U113*設定!$B$10)/設定!$B$11))</f>
        <v/>
      </c>
      <c r="W113" s="25" t="str">
        <f aca="false">IF($C113="","",IFERROR(INDEX(設定!$B$38:$B$40,MATCH($M113,設定!$A$38:$A$40,0)),1))</f>
        <v/>
      </c>
      <c r="X113" s="26" t="str">
        <f aca="false">IF($C113="","",ROUND(V113*W113,1))</f>
        <v/>
      </c>
      <c r="Y113" s="27" t="str">
        <f aca="false">IF($C113="","",INDEX(設定!$B$49:$B$53,MATCH(X113,設定!$A$49:$A$53,1)))</f>
        <v/>
      </c>
    </row>
    <row r="114" customFormat="false" ht="15" hidden="false" customHeight="false" outlineLevel="0" collapsed="false">
      <c r="A114" s="23" t="n">
        <v>110</v>
      </c>
      <c r="B114" s="24"/>
      <c r="C114" s="9"/>
      <c r="D114" s="9"/>
      <c r="E114" s="15"/>
      <c r="F114" s="9"/>
      <c r="G114" s="17"/>
      <c r="H114" s="9"/>
      <c r="I114" s="9"/>
      <c r="J114" s="9"/>
      <c r="K114" s="9"/>
      <c r="L114" s="17"/>
      <c r="M114" s="9"/>
      <c r="N114" s="9"/>
      <c r="O114" s="25" t="str">
        <f aca="false">IF($C114="","",IFERROR(INDEX(設定!$B$14:$B$18,MATCH($E114,設定!$A$14:$A$18,0)),0))</f>
        <v/>
      </c>
      <c r="P114" s="25" t="str">
        <f aca="false">IF($C114="","",IF(N($G114)&lt;=1,0,MIN(100,LOG10($G114)/LOG10(設定!$B$43)*100)))</f>
        <v/>
      </c>
      <c r="Q114" s="25" t="str">
        <f aca="false">IF($C114="","",IFERROR(INDEX(設定!$B$21:$B$24,MATCH($H114,設定!$A$21:$A$24,0)),0))</f>
        <v/>
      </c>
      <c r="R114" s="25" t="str">
        <f aca="false">IF($C114="","",IF(設定!$B$45&lt;=0,0,MIN(100,N($I114)/設定!$B$45*100)))</f>
        <v/>
      </c>
      <c r="S114" s="25" t="str">
        <f aca="false">IF($C114="","",IFERROR(INDEX(設定!$B$27:$B$29,MATCH($J114,設定!$A$27:$A$29,0)),0))</f>
        <v/>
      </c>
      <c r="T114" s="25" t="str">
        <f aca="false">IF($C114="","",IFERROR(INDEX(設定!$B$32:$B$35,MATCH($K114,設定!$A$32:$A$35,0)),0))</f>
        <v/>
      </c>
      <c r="U114" s="25" t="str">
        <f aca="false">IF($C114="","",IF(N($L114)&lt;1,0,MIN(100,LOG10($L114+1)/LOG10(設定!$B$44+1)*100)))</f>
        <v/>
      </c>
      <c r="V114" s="25" t="str">
        <f aca="false">IF($C114="","",IF(設定!$B$11=0,0,(O114*設定!$B$4+P114*設定!$B$5+Q114*設定!$B$6+R114*設定!$B$7+S114*設定!$B$8+T114*設定!$B$9+U114*設定!$B$10)/設定!$B$11))</f>
        <v/>
      </c>
      <c r="W114" s="25" t="str">
        <f aca="false">IF($C114="","",IFERROR(INDEX(設定!$B$38:$B$40,MATCH($M114,設定!$A$38:$A$40,0)),1))</f>
        <v/>
      </c>
      <c r="X114" s="26" t="str">
        <f aca="false">IF($C114="","",ROUND(V114*W114,1))</f>
        <v/>
      </c>
      <c r="Y114" s="27" t="str">
        <f aca="false">IF($C114="","",INDEX(設定!$B$49:$B$53,MATCH(X114,設定!$A$49:$A$53,1)))</f>
        <v/>
      </c>
    </row>
    <row r="115" customFormat="false" ht="15" hidden="false" customHeight="false" outlineLevel="0" collapsed="false">
      <c r="A115" s="23" t="n">
        <v>111</v>
      </c>
      <c r="B115" s="24"/>
      <c r="C115" s="9"/>
      <c r="D115" s="9"/>
      <c r="E115" s="15"/>
      <c r="F115" s="9"/>
      <c r="G115" s="17"/>
      <c r="H115" s="9"/>
      <c r="I115" s="9"/>
      <c r="J115" s="9"/>
      <c r="K115" s="9"/>
      <c r="L115" s="17"/>
      <c r="M115" s="9"/>
      <c r="N115" s="9"/>
      <c r="O115" s="25" t="str">
        <f aca="false">IF($C115="","",IFERROR(INDEX(設定!$B$14:$B$18,MATCH($E115,設定!$A$14:$A$18,0)),0))</f>
        <v/>
      </c>
      <c r="P115" s="25" t="str">
        <f aca="false">IF($C115="","",IF(N($G115)&lt;=1,0,MIN(100,LOG10($G115)/LOG10(設定!$B$43)*100)))</f>
        <v/>
      </c>
      <c r="Q115" s="25" t="str">
        <f aca="false">IF($C115="","",IFERROR(INDEX(設定!$B$21:$B$24,MATCH($H115,設定!$A$21:$A$24,0)),0))</f>
        <v/>
      </c>
      <c r="R115" s="25" t="str">
        <f aca="false">IF($C115="","",IF(設定!$B$45&lt;=0,0,MIN(100,N($I115)/設定!$B$45*100)))</f>
        <v/>
      </c>
      <c r="S115" s="25" t="str">
        <f aca="false">IF($C115="","",IFERROR(INDEX(設定!$B$27:$B$29,MATCH($J115,設定!$A$27:$A$29,0)),0))</f>
        <v/>
      </c>
      <c r="T115" s="25" t="str">
        <f aca="false">IF($C115="","",IFERROR(INDEX(設定!$B$32:$B$35,MATCH($K115,設定!$A$32:$A$35,0)),0))</f>
        <v/>
      </c>
      <c r="U115" s="25" t="str">
        <f aca="false">IF($C115="","",IF(N($L115)&lt;1,0,MIN(100,LOG10($L115+1)/LOG10(設定!$B$44+1)*100)))</f>
        <v/>
      </c>
      <c r="V115" s="25" t="str">
        <f aca="false">IF($C115="","",IF(設定!$B$11=0,0,(O115*設定!$B$4+P115*設定!$B$5+Q115*設定!$B$6+R115*設定!$B$7+S115*設定!$B$8+T115*設定!$B$9+U115*設定!$B$10)/設定!$B$11))</f>
        <v/>
      </c>
      <c r="W115" s="25" t="str">
        <f aca="false">IF($C115="","",IFERROR(INDEX(設定!$B$38:$B$40,MATCH($M115,設定!$A$38:$A$40,0)),1))</f>
        <v/>
      </c>
      <c r="X115" s="26" t="str">
        <f aca="false">IF($C115="","",ROUND(V115*W115,1))</f>
        <v/>
      </c>
      <c r="Y115" s="27" t="str">
        <f aca="false">IF($C115="","",INDEX(設定!$B$49:$B$53,MATCH(X115,設定!$A$49:$A$53,1)))</f>
        <v/>
      </c>
    </row>
    <row r="116" customFormat="false" ht="15" hidden="false" customHeight="false" outlineLevel="0" collapsed="false">
      <c r="A116" s="23" t="n">
        <v>112</v>
      </c>
      <c r="B116" s="24"/>
      <c r="C116" s="9"/>
      <c r="D116" s="9"/>
      <c r="E116" s="15"/>
      <c r="F116" s="9"/>
      <c r="G116" s="17"/>
      <c r="H116" s="9"/>
      <c r="I116" s="9"/>
      <c r="J116" s="9"/>
      <c r="K116" s="9"/>
      <c r="L116" s="17"/>
      <c r="M116" s="9"/>
      <c r="N116" s="9"/>
      <c r="O116" s="25" t="str">
        <f aca="false">IF($C116="","",IFERROR(INDEX(設定!$B$14:$B$18,MATCH($E116,設定!$A$14:$A$18,0)),0))</f>
        <v/>
      </c>
      <c r="P116" s="25" t="str">
        <f aca="false">IF($C116="","",IF(N($G116)&lt;=1,0,MIN(100,LOG10($G116)/LOG10(設定!$B$43)*100)))</f>
        <v/>
      </c>
      <c r="Q116" s="25" t="str">
        <f aca="false">IF($C116="","",IFERROR(INDEX(設定!$B$21:$B$24,MATCH($H116,設定!$A$21:$A$24,0)),0))</f>
        <v/>
      </c>
      <c r="R116" s="25" t="str">
        <f aca="false">IF($C116="","",IF(設定!$B$45&lt;=0,0,MIN(100,N($I116)/設定!$B$45*100)))</f>
        <v/>
      </c>
      <c r="S116" s="25" t="str">
        <f aca="false">IF($C116="","",IFERROR(INDEX(設定!$B$27:$B$29,MATCH($J116,設定!$A$27:$A$29,0)),0))</f>
        <v/>
      </c>
      <c r="T116" s="25" t="str">
        <f aca="false">IF($C116="","",IFERROR(INDEX(設定!$B$32:$B$35,MATCH($K116,設定!$A$32:$A$35,0)),0))</f>
        <v/>
      </c>
      <c r="U116" s="25" t="str">
        <f aca="false">IF($C116="","",IF(N($L116)&lt;1,0,MIN(100,LOG10($L116+1)/LOG10(設定!$B$44+1)*100)))</f>
        <v/>
      </c>
      <c r="V116" s="25" t="str">
        <f aca="false">IF($C116="","",IF(設定!$B$11=0,0,(O116*設定!$B$4+P116*設定!$B$5+Q116*設定!$B$6+R116*設定!$B$7+S116*設定!$B$8+T116*設定!$B$9+U116*設定!$B$10)/設定!$B$11))</f>
        <v/>
      </c>
      <c r="W116" s="25" t="str">
        <f aca="false">IF($C116="","",IFERROR(INDEX(設定!$B$38:$B$40,MATCH($M116,設定!$A$38:$A$40,0)),1))</f>
        <v/>
      </c>
      <c r="X116" s="26" t="str">
        <f aca="false">IF($C116="","",ROUND(V116*W116,1))</f>
        <v/>
      </c>
      <c r="Y116" s="27" t="str">
        <f aca="false">IF($C116="","",INDEX(設定!$B$49:$B$53,MATCH(X116,設定!$A$49:$A$53,1)))</f>
        <v/>
      </c>
    </row>
    <row r="117" customFormat="false" ht="15" hidden="false" customHeight="false" outlineLevel="0" collapsed="false">
      <c r="A117" s="23" t="n">
        <v>113</v>
      </c>
      <c r="B117" s="24"/>
      <c r="C117" s="9"/>
      <c r="D117" s="9"/>
      <c r="E117" s="15"/>
      <c r="F117" s="9"/>
      <c r="G117" s="17"/>
      <c r="H117" s="9"/>
      <c r="I117" s="9"/>
      <c r="J117" s="9"/>
      <c r="K117" s="9"/>
      <c r="L117" s="17"/>
      <c r="M117" s="9"/>
      <c r="N117" s="9"/>
      <c r="O117" s="25" t="str">
        <f aca="false">IF($C117="","",IFERROR(INDEX(設定!$B$14:$B$18,MATCH($E117,設定!$A$14:$A$18,0)),0))</f>
        <v/>
      </c>
      <c r="P117" s="25" t="str">
        <f aca="false">IF($C117="","",IF(N($G117)&lt;=1,0,MIN(100,LOG10($G117)/LOG10(設定!$B$43)*100)))</f>
        <v/>
      </c>
      <c r="Q117" s="25" t="str">
        <f aca="false">IF($C117="","",IFERROR(INDEX(設定!$B$21:$B$24,MATCH($H117,設定!$A$21:$A$24,0)),0))</f>
        <v/>
      </c>
      <c r="R117" s="25" t="str">
        <f aca="false">IF($C117="","",IF(設定!$B$45&lt;=0,0,MIN(100,N($I117)/設定!$B$45*100)))</f>
        <v/>
      </c>
      <c r="S117" s="25" t="str">
        <f aca="false">IF($C117="","",IFERROR(INDEX(設定!$B$27:$B$29,MATCH($J117,設定!$A$27:$A$29,0)),0))</f>
        <v/>
      </c>
      <c r="T117" s="25" t="str">
        <f aca="false">IF($C117="","",IFERROR(INDEX(設定!$B$32:$B$35,MATCH($K117,設定!$A$32:$A$35,0)),0))</f>
        <v/>
      </c>
      <c r="U117" s="25" t="str">
        <f aca="false">IF($C117="","",IF(N($L117)&lt;1,0,MIN(100,LOG10($L117+1)/LOG10(設定!$B$44+1)*100)))</f>
        <v/>
      </c>
      <c r="V117" s="25" t="str">
        <f aca="false">IF($C117="","",IF(設定!$B$11=0,0,(O117*設定!$B$4+P117*設定!$B$5+Q117*設定!$B$6+R117*設定!$B$7+S117*設定!$B$8+T117*設定!$B$9+U117*設定!$B$10)/設定!$B$11))</f>
        <v/>
      </c>
      <c r="W117" s="25" t="str">
        <f aca="false">IF($C117="","",IFERROR(INDEX(設定!$B$38:$B$40,MATCH($M117,設定!$A$38:$A$40,0)),1))</f>
        <v/>
      </c>
      <c r="X117" s="26" t="str">
        <f aca="false">IF($C117="","",ROUND(V117*W117,1))</f>
        <v/>
      </c>
      <c r="Y117" s="27" t="str">
        <f aca="false">IF($C117="","",INDEX(設定!$B$49:$B$53,MATCH(X117,設定!$A$49:$A$53,1)))</f>
        <v/>
      </c>
    </row>
    <row r="118" customFormat="false" ht="15" hidden="false" customHeight="false" outlineLevel="0" collapsed="false">
      <c r="A118" s="23" t="n">
        <v>114</v>
      </c>
      <c r="B118" s="24"/>
      <c r="C118" s="9"/>
      <c r="D118" s="9"/>
      <c r="E118" s="15"/>
      <c r="F118" s="9"/>
      <c r="G118" s="17"/>
      <c r="H118" s="9"/>
      <c r="I118" s="9"/>
      <c r="J118" s="9"/>
      <c r="K118" s="9"/>
      <c r="L118" s="17"/>
      <c r="M118" s="9"/>
      <c r="N118" s="9"/>
      <c r="O118" s="25" t="str">
        <f aca="false">IF($C118="","",IFERROR(INDEX(設定!$B$14:$B$18,MATCH($E118,設定!$A$14:$A$18,0)),0))</f>
        <v/>
      </c>
      <c r="P118" s="25" t="str">
        <f aca="false">IF($C118="","",IF(N($G118)&lt;=1,0,MIN(100,LOG10($G118)/LOG10(設定!$B$43)*100)))</f>
        <v/>
      </c>
      <c r="Q118" s="25" t="str">
        <f aca="false">IF($C118="","",IFERROR(INDEX(設定!$B$21:$B$24,MATCH($H118,設定!$A$21:$A$24,0)),0))</f>
        <v/>
      </c>
      <c r="R118" s="25" t="str">
        <f aca="false">IF($C118="","",IF(設定!$B$45&lt;=0,0,MIN(100,N($I118)/設定!$B$45*100)))</f>
        <v/>
      </c>
      <c r="S118" s="25" t="str">
        <f aca="false">IF($C118="","",IFERROR(INDEX(設定!$B$27:$B$29,MATCH($J118,設定!$A$27:$A$29,0)),0))</f>
        <v/>
      </c>
      <c r="T118" s="25" t="str">
        <f aca="false">IF($C118="","",IFERROR(INDEX(設定!$B$32:$B$35,MATCH($K118,設定!$A$32:$A$35,0)),0))</f>
        <v/>
      </c>
      <c r="U118" s="25" t="str">
        <f aca="false">IF($C118="","",IF(N($L118)&lt;1,0,MIN(100,LOG10($L118+1)/LOG10(設定!$B$44+1)*100)))</f>
        <v/>
      </c>
      <c r="V118" s="25" t="str">
        <f aca="false">IF($C118="","",IF(設定!$B$11=0,0,(O118*設定!$B$4+P118*設定!$B$5+Q118*設定!$B$6+R118*設定!$B$7+S118*設定!$B$8+T118*設定!$B$9+U118*設定!$B$10)/設定!$B$11))</f>
        <v/>
      </c>
      <c r="W118" s="25" t="str">
        <f aca="false">IF($C118="","",IFERROR(INDEX(設定!$B$38:$B$40,MATCH($M118,設定!$A$38:$A$40,0)),1))</f>
        <v/>
      </c>
      <c r="X118" s="26" t="str">
        <f aca="false">IF($C118="","",ROUND(V118*W118,1))</f>
        <v/>
      </c>
      <c r="Y118" s="27" t="str">
        <f aca="false">IF($C118="","",INDEX(設定!$B$49:$B$53,MATCH(X118,設定!$A$49:$A$53,1)))</f>
        <v/>
      </c>
    </row>
    <row r="119" customFormat="false" ht="15" hidden="false" customHeight="false" outlineLevel="0" collapsed="false">
      <c r="A119" s="23" t="n">
        <v>115</v>
      </c>
      <c r="B119" s="24"/>
      <c r="C119" s="9"/>
      <c r="D119" s="9"/>
      <c r="E119" s="15"/>
      <c r="F119" s="9"/>
      <c r="G119" s="17"/>
      <c r="H119" s="9"/>
      <c r="I119" s="9"/>
      <c r="J119" s="9"/>
      <c r="K119" s="9"/>
      <c r="L119" s="17"/>
      <c r="M119" s="9"/>
      <c r="N119" s="9"/>
      <c r="O119" s="25" t="str">
        <f aca="false">IF($C119="","",IFERROR(INDEX(設定!$B$14:$B$18,MATCH($E119,設定!$A$14:$A$18,0)),0))</f>
        <v/>
      </c>
      <c r="P119" s="25" t="str">
        <f aca="false">IF($C119="","",IF(N($G119)&lt;=1,0,MIN(100,LOG10($G119)/LOG10(設定!$B$43)*100)))</f>
        <v/>
      </c>
      <c r="Q119" s="25" t="str">
        <f aca="false">IF($C119="","",IFERROR(INDEX(設定!$B$21:$B$24,MATCH($H119,設定!$A$21:$A$24,0)),0))</f>
        <v/>
      </c>
      <c r="R119" s="25" t="str">
        <f aca="false">IF($C119="","",IF(設定!$B$45&lt;=0,0,MIN(100,N($I119)/設定!$B$45*100)))</f>
        <v/>
      </c>
      <c r="S119" s="25" t="str">
        <f aca="false">IF($C119="","",IFERROR(INDEX(設定!$B$27:$B$29,MATCH($J119,設定!$A$27:$A$29,0)),0))</f>
        <v/>
      </c>
      <c r="T119" s="25" t="str">
        <f aca="false">IF($C119="","",IFERROR(INDEX(設定!$B$32:$B$35,MATCH($K119,設定!$A$32:$A$35,0)),0))</f>
        <v/>
      </c>
      <c r="U119" s="25" t="str">
        <f aca="false">IF($C119="","",IF(N($L119)&lt;1,0,MIN(100,LOG10($L119+1)/LOG10(設定!$B$44+1)*100)))</f>
        <v/>
      </c>
      <c r="V119" s="25" t="str">
        <f aca="false">IF($C119="","",IF(設定!$B$11=0,0,(O119*設定!$B$4+P119*設定!$B$5+Q119*設定!$B$6+R119*設定!$B$7+S119*設定!$B$8+T119*設定!$B$9+U119*設定!$B$10)/設定!$B$11))</f>
        <v/>
      </c>
      <c r="W119" s="25" t="str">
        <f aca="false">IF($C119="","",IFERROR(INDEX(設定!$B$38:$B$40,MATCH($M119,設定!$A$38:$A$40,0)),1))</f>
        <v/>
      </c>
      <c r="X119" s="26" t="str">
        <f aca="false">IF($C119="","",ROUND(V119*W119,1))</f>
        <v/>
      </c>
      <c r="Y119" s="27" t="str">
        <f aca="false">IF($C119="","",INDEX(設定!$B$49:$B$53,MATCH(X119,設定!$A$49:$A$53,1)))</f>
        <v/>
      </c>
    </row>
    <row r="120" customFormat="false" ht="15" hidden="false" customHeight="false" outlineLevel="0" collapsed="false">
      <c r="A120" s="23" t="n">
        <v>116</v>
      </c>
      <c r="B120" s="24"/>
      <c r="C120" s="9"/>
      <c r="D120" s="9"/>
      <c r="E120" s="15"/>
      <c r="F120" s="9"/>
      <c r="G120" s="17"/>
      <c r="H120" s="9"/>
      <c r="I120" s="9"/>
      <c r="J120" s="9"/>
      <c r="K120" s="9"/>
      <c r="L120" s="17"/>
      <c r="M120" s="9"/>
      <c r="N120" s="9"/>
      <c r="O120" s="25" t="str">
        <f aca="false">IF($C120="","",IFERROR(INDEX(設定!$B$14:$B$18,MATCH($E120,設定!$A$14:$A$18,0)),0))</f>
        <v/>
      </c>
      <c r="P120" s="25" t="str">
        <f aca="false">IF($C120="","",IF(N($G120)&lt;=1,0,MIN(100,LOG10($G120)/LOG10(設定!$B$43)*100)))</f>
        <v/>
      </c>
      <c r="Q120" s="25" t="str">
        <f aca="false">IF($C120="","",IFERROR(INDEX(設定!$B$21:$B$24,MATCH($H120,設定!$A$21:$A$24,0)),0))</f>
        <v/>
      </c>
      <c r="R120" s="25" t="str">
        <f aca="false">IF($C120="","",IF(設定!$B$45&lt;=0,0,MIN(100,N($I120)/設定!$B$45*100)))</f>
        <v/>
      </c>
      <c r="S120" s="25" t="str">
        <f aca="false">IF($C120="","",IFERROR(INDEX(設定!$B$27:$B$29,MATCH($J120,設定!$A$27:$A$29,0)),0))</f>
        <v/>
      </c>
      <c r="T120" s="25" t="str">
        <f aca="false">IF($C120="","",IFERROR(INDEX(設定!$B$32:$B$35,MATCH($K120,設定!$A$32:$A$35,0)),0))</f>
        <v/>
      </c>
      <c r="U120" s="25" t="str">
        <f aca="false">IF($C120="","",IF(N($L120)&lt;1,0,MIN(100,LOG10($L120+1)/LOG10(設定!$B$44+1)*100)))</f>
        <v/>
      </c>
      <c r="V120" s="25" t="str">
        <f aca="false">IF($C120="","",IF(設定!$B$11=0,0,(O120*設定!$B$4+P120*設定!$B$5+Q120*設定!$B$6+R120*設定!$B$7+S120*設定!$B$8+T120*設定!$B$9+U120*設定!$B$10)/設定!$B$11))</f>
        <v/>
      </c>
      <c r="W120" s="25" t="str">
        <f aca="false">IF($C120="","",IFERROR(INDEX(設定!$B$38:$B$40,MATCH($M120,設定!$A$38:$A$40,0)),1))</f>
        <v/>
      </c>
      <c r="X120" s="26" t="str">
        <f aca="false">IF($C120="","",ROUND(V120*W120,1))</f>
        <v/>
      </c>
      <c r="Y120" s="27" t="str">
        <f aca="false">IF($C120="","",INDEX(設定!$B$49:$B$53,MATCH(X120,設定!$A$49:$A$53,1)))</f>
        <v/>
      </c>
    </row>
    <row r="121" customFormat="false" ht="15" hidden="false" customHeight="false" outlineLevel="0" collapsed="false">
      <c r="A121" s="23" t="n">
        <v>117</v>
      </c>
      <c r="B121" s="24"/>
      <c r="C121" s="9"/>
      <c r="D121" s="9"/>
      <c r="E121" s="15"/>
      <c r="F121" s="9"/>
      <c r="G121" s="17"/>
      <c r="H121" s="9"/>
      <c r="I121" s="9"/>
      <c r="J121" s="9"/>
      <c r="K121" s="9"/>
      <c r="L121" s="17"/>
      <c r="M121" s="9"/>
      <c r="N121" s="9"/>
      <c r="O121" s="25" t="str">
        <f aca="false">IF($C121="","",IFERROR(INDEX(設定!$B$14:$B$18,MATCH($E121,設定!$A$14:$A$18,0)),0))</f>
        <v/>
      </c>
      <c r="P121" s="25" t="str">
        <f aca="false">IF($C121="","",IF(N($G121)&lt;=1,0,MIN(100,LOG10($G121)/LOG10(設定!$B$43)*100)))</f>
        <v/>
      </c>
      <c r="Q121" s="25" t="str">
        <f aca="false">IF($C121="","",IFERROR(INDEX(設定!$B$21:$B$24,MATCH($H121,設定!$A$21:$A$24,0)),0))</f>
        <v/>
      </c>
      <c r="R121" s="25" t="str">
        <f aca="false">IF($C121="","",IF(設定!$B$45&lt;=0,0,MIN(100,N($I121)/設定!$B$45*100)))</f>
        <v/>
      </c>
      <c r="S121" s="25" t="str">
        <f aca="false">IF($C121="","",IFERROR(INDEX(設定!$B$27:$B$29,MATCH($J121,設定!$A$27:$A$29,0)),0))</f>
        <v/>
      </c>
      <c r="T121" s="25" t="str">
        <f aca="false">IF($C121="","",IFERROR(INDEX(設定!$B$32:$B$35,MATCH($K121,設定!$A$32:$A$35,0)),0))</f>
        <v/>
      </c>
      <c r="U121" s="25" t="str">
        <f aca="false">IF($C121="","",IF(N($L121)&lt;1,0,MIN(100,LOG10($L121+1)/LOG10(設定!$B$44+1)*100)))</f>
        <v/>
      </c>
      <c r="V121" s="25" t="str">
        <f aca="false">IF($C121="","",IF(設定!$B$11=0,0,(O121*設定!$B$4+P121*設定!$B$5+Q121*設定!$B$6+R121*設定!$B$7+S121*設定!$B$8+T121*設定!$B$9+U121*設定!$B$10)/設定!$B$11))</f>
        <v/>
      </c>
      <c r="W121" s="25" t="str">
        <f aca="false">IF($C121="","",IFERROR(INDEX(設定!$B$38:$B$40,MATCH($M121,設定!$A$38:$A$40,0)),1))</f>
        <v/>
      </c>
      <c r="X121" s="26" t="str">
        <f aca="false">IF($C121="","",ROUND(V121*W121,1))</f>
        <v/>
      </c>
      <c r="Y121" s="27" t="str">
        <f aca="false">IF($C121="","",INDEX(設定!$B$49:$B$53,MATCH(X121,設定!$A$49:$A$53,1)))</f>
        <v/>
      </c>
    </row>
    <row r="122" customFormat="false" ht="15" hidden="false" customHeight="false" outlineLevel="0" collapsed="false">
      <c r="A122" s="23" t="n">
        <v>118</v>
      </c>
      <c r="B122" s="24"/>
      <c r="C122" s="9"/>
      <c r="D122" s="9"/>
      <c r="E122" s="15"/>
      <c r="F122" s="9"/>
      <c r="G122" s="17"/>
      <c r="H122" s="9"/>
      <c r="I122" s="9"/>
      <c r="J122" s="9"/>
      <c r="K122" s="9"/>
      <c r="L122" s="17"/>
      <c r="M122" s="9"/>
      <c r="N122" s="9"/>
      <c r="O122" s="25" t="str">
        <f aca="false">IF($C122="","",IFERROR(INDEX(設定!$B$14:$B$18,MATCH($E122,設定!$A$14:$A$18,0)),0))</f>
        <v/>
      </c>
      <c r="P122" s="25" t="str">
        <f aca="false">IF($C122="","",IF(N($G122)&lt;=1,0,MIN(100,LOG10($G122)/LOG10(設定!$B$43)*100)))</f>
        <v/>
      </c>
      <c r="Q122" s="25" t="str">
        <f aca="false">IF($C122="","",IFERROR(INDEX(設定!$B$21:$B$24,MATCH($H122,設定!$A$21:$A$24,0)),0))</f>
        <v/>
      </c>
      <c r="R122" s="25" t="str">
        <f aca="false">IF($C122="","",IF(設定!$B$45&lt;=0,0,MIN(100,N($I122)/設定!$B$45*100)))</f>
        <v/>
      </c>
      <c r="S122" s="25" t="str">
        <f aca="false">IF($C122="","",IFERROR(INDEX(設定!$B$27:$B$29,MATCH($J122,設定!$A$27:$A$29,0)),0))</f>
        <v/>
      </c>
      <c r="T122" s="25" t="str">
        <f aca="false">IF($C122="","",IFERROR(INDEX(設定!$B$32:$B$35,MATCH($K122,設定!$A$32:$A$35,0)),0))</f>
        <v/>
      </c>
      <c r="U122" s="25" t="str">
        <f aca="false">IF($C122="","",IF(N($L122)&lt;1,0,MIN(100,LOG10($L122+1)/LOG10(設定!$B$44+1)*100)))</f>
        <v/>
      </c>
      <c r="V122" s="25" t="str">
        <f aca="false">IF($C122="","",IF(設定!$B$11=0,0,(O122*設定!$B$4+P122*設定!$B$5+Q122*設定!$B$6+R122*設定!$B$7+S122*設定!$B$8+T122*設定!$B$9+U122*設定!$B$10)/設定!$B$11))</f>
        <v/>
      </c>
      <c r="W122" s="25" t="str">
        <f aca="false">IF($C122="","",IFERROR(INDEX(設定!$B$38:$B$40,MATCH($M122,設定!$A$38:$A$40,0)),1))</f>
        <v/>
      </c>
      <c r="X122" s="26" t="str">
        <f aca="false">IF($C122="","",ROUND(V122*W122,1))</f>
        <v/>
      </c>
      <c r="Y122" s="27" t="str">
        <f aca="false">IF($C122="","",INDEX(設定!$B$49:$B$53,MATCH(X122,設定!$A$49:$A$53,1)))</f>
        <v/>
      </c>
    </row>
    <row r="123" customFormat="false" ht="15" hidden="false" customHeight="false" outlineLevel="0" collapsed="false">
      <c r="A123" s="23" t="n">
        <v>119</v>
      </c>
      <c r="B123" s="24"/>
      <c r="C123" s="9"/>
      <c r="D123" s="9"/>
      <c r="E123" s="15"/>
      <c r="F123" s="9"/>
      <c r="G123" s="17"/>
      <c r="H123" s="9"/>
      <c r="I123" s="9"/>
      <c r="J123" s="9"/>
      <c r="K123" s="9"/>
      <c r="L123" s="17"/>
      <c r="M123" s="9"/>
      <c r="N123" s="9"/>
      <c r="O123" s="25" t="str">
        <f aca="false">IF($C123="","",IFERROR(INDEX(設定!$B$14:$B$18,MATCH($E123,設定!$A$14:$A$18,0)),0))</f>
        <v/>
      </c>
      <c r="P123" s="25" t="str">
        <f aca="false">IF($C123="","",IF(N($G123)&lt;=1,0,MIN(100,LOG10($G123)/LOG10(設定!$B$43)*100)))</f>
        <v/>
      </c>
      <c r="Q123" s="25" t="str">
        <f aca="false">IF($C123="","",IFERROR(INDEX(設定!$B$21:$B$24,MATCH($H123,設定!$A$21:$A$24,0)),0))</f>
        <v/>
      </c>
      <c r="R123" s="25" t="str">
        <f aca="false">IF($C123="","",IF(設定!$B$45&lt;=0,0,MIN(100,N($I123)/設定!$B$45*100)))</f>
        <v/>
      </c>
      <c r="S123" s="25" t="str">
        <f aca="false">IF($C123="","",IFERROR(INDEX(設定!$B$27:$B$29,MATCH($J123,設定!$A$27:$A$29,0)),0))</f>
        <v/>
      </c>
      <c r="T123" s="25" t="str">
        <f aca="false">IF($C123="","",IFERROR(INDEX(設定!$B$32:$B$35,MATCH($K123,設定!$A$32:$A$35,0)),0))</f>
        <v/>
      </c>
      <c r="U123" s="25" t="str">
        <f aca="false">IF($C123="","",IF(N($L123)&lt;1,0,MIN(100,LOG10($L123+1)/LOG10(設定!$B$44+1)*100)))</f>
        <v/>
      </c>
      <c r="V123" s="25" t="str">
        <f aca="false">IF($C123="","",IF(設定!$B$11=0,0,(O123*設定!$B$4+P123*設定!$B$5+Q123*設定!$B$6+R123*設定!$B$7+S123*設定!$B$8+T123*設定!$B$9+U123*設定!$B$10)/設定!$B$11))</f>
        <v/>
      </c>
      <c r="W123" s="25" t="str">
        <f aca="false">IF($C123="","",IFERROR(INDEX(設定!$B$38:$B$40,MATCH($M123,設定!$A$38:$A$40,0)),1))</f>
        <v/>
      </c>
      <c r="X123" s="26" t="str">
        <f aca="false">IF($C123="","",ROUND(V123*W123,1))</f>
        <v/>
      </c>
      <c r="Y123" s="27" t="str">
        <f aca="false">IF($C123="","",INDEX(設定!$B$49:$B$53,MATCH(X123,設定!$A$49:$A$53,1)))</f>
        <v/>
      </c>
    </row>
    <row r="124" customFormat="false" ht="15" hidden="false" customHeight="false" outlineLevel="0" collapsed="false">
      <c r="A124" s="23" t="n">
        <v>120</v>
      </c>
      <c r="B124" s="24"/>
      <c r="C124" s="9"/>
      <c r="D124" s="9"/>
      <c r="E124" s="15"/>
      <c r="F124" s="9"/>
      <c r="G124" s="17"/>
      <c r="H124" s="9"/>
      <c r="I124" s="9"/>
      <c r="J124" s="9"/>
      <c r="K124" s="9"/>
      <c r="L124" s="17"/>
      <c r="M124" s="9"/>
      <c r="N124" s="9"/>
      <c r="O124" s="25" t="str">
        <f aca="false">IF($C124="","",IFERROR(INDEX(設定!$B$14:$B$18,MATCH($E124,設定!$A$14:$A$18,0)),0))</f>
        <v/>
      </c>
      <c r="P124" s="25" t="str">
        <f aca="false">IF($C124="","",IF(N($G124)&lt;=1,0,MIN(100,LOG10($G124)/LOG10(設定!$B$43)*100)))</f>
        <v/>
      </c>
      <c r="Q124" s="25" t="str">
        <f aca="false">IF($C124="","",IFERROR(INDEX(設定!$B$21:$B$24,MATCH($H124,設定!$A$21:$A$24,0)),0))</f>
        <v/>
      </c>
      <c r="R124" s="25" t="str">
        <f aca="false">IF($C124="","",IF(設定!$B$45&lt;=0,0,MIN(100,N($I124)/設定!$B$45*100)))</f>
        <v/>
      </c>
      <c r="S124" s="25" t="str">
        <f aca="false">IF($C124="","",IFERROR(INDEX(設定!$B$27:$B$29,MATCH($J124,設定!$A$27:$A$29,0)),0))</f>
        <v/>
      </c>
      <c r="T124" s="25" t="str">
        <f aca="false">IF($C124="","",IFERROR(INDEX(設定!$B$32:$B$35,MATCH($K124,設定!$A$32:$A$35,0)),0))</f>
        <v/>
      </c>
      <c r="U124" s="25" t="str">
        <f aca="false">IF($C124="","",IF(N($L124)&lt;1,0,MIN(100,LOG10($L124+1)/LOG10(設定!$B$44+1)*100)))</f>
        <v/>
      </c>
      <c r="V124" s="25" t="str">
        <f aca="false">IF($C124="","",IF(設定!$B$11=0,0,(O124*設定!$B$4+P124*設定!$B$5+Q124*設定!$B$6+R124*設定!$B$7+S124*設定!$B$8+T124*設定!$B$9+U124*設定!$B$10)/設定!$B$11))</f>
        <v/>
      </c>
      <c r="W124" s="25" t="str">
        <f aca="false">IF($C124="","",IFERROR(INDEX(設定!$B$38:$B$40,MATCH($M124,設定!$A$38:$A$40,0)),1))</f>
        <v/>
      </c>
      <c r="X124" s="26" t="str">
        <f aca="false">IF($C124="","",ROUND(V124*W124,1))</f>
        <v/>
      </c>
      <c r="Y124" s="27" t="str">
        <f aca="false">IF($C124="","",INDEX(設定!$B$49:$B$53,MATCH(X124,設定!$A$49:$A$53,1)))</f>
        <v/>
      </c>
    </row>
    <row r="125" customFormat="false" ht="15" hidden="false" customHeight="false" outlineLevel="0" collapsed="false">
      <c r="A125" s="23" t="n">
        <v>121</v>
      </c>
      <c r="B125" s="24"/>
      <c r="C125" s="9"/>
      <c r="D125" s="9"/>
      <c r="E125" s="15"/>
      <c r="F125" s="9"/>
      <c r="G125" s="17"/>
      <c r="H125" s="9"/>
      <c r="I125" s="9"/>
      <c r="J125" s="9"/>
      <c r="K125" s="9"/>
      <c r="L125" s="17"/>
      <c r="M125" s="9"/>
      <c r="N125" s="9"/>
      <c r="O125" s="25" t="str">
        <f aca="false">IF($C125="","",IFERROR(INDEX(設定!$B$14:$B$18,MATCH($E125,設定!$A$14:$A$18,0)),0))</f>
        <v/>
      </c>
      <c r="P125" s="25" t="str">
        <f aca="false">IF($C125="","",IF(N($G125)&lt;=1,0,MIN(100,LOG10($G125)/LOG10(設定!$B$43)*100)))</f>
        <v/>
      </c>
      <c r="Q125" s="25" t="str">
        <f aca="false">IF($C125="","",IFERROR(INDEX(設定!$B$21:$B$24,MATCH($H125,設定!$A$21:$A$24,0)),0))</f>
        <v/>
      </c>
      <c r="R125" s="25" t="str">
        <f aca="false">IF($C125="","",IF(設定!$B$45&lt;=0,0,MIN(100,N($I125)/設定!$B$45*100)))</f>
        <v/>
      </c>
      <c r="S125" s="25" t="str">
        <f aca="false">IF($C125="","",IFERROR(INDEX(設定!$B$27:$B$29,MATCH($J125,設定!$A$27:$A$29,0)),0))</f>
        <v/>
      </c>
      <c r="T125" s="25" t="str">
        <f aca="false">IF($C125="","",IFERROR(INDEX(設定!$B$32:$B$35,MATCH($K125,設定!$A$32:$A$35,0)),0))</f>
        <v/>
      </c>
      <c r="U125" s="25" t="str">
        <f aca="false">IF($C125="","",IF(N($L125)&lt;1,0,MIN(100,LOG10($L125+1)/LOG10(設定!$B$44+1)*100)))</f>
        <v/>
      </c>
      <c r="V125" s="25" t="str">
        <f aca="false">IF($C125="","",IF(設定!$B$11=0,0,(O125*設定!$B$4+P125*設定!$B$5+Q125*設定!$B$6+R125*設定!$B$7+S125*設定!$B$8+T125*設定!$B$9+U125*設定!$B$10)/設定!$B$11))</f>
        <v/>
      </c>
      <c r="W125" s="25" t="str">
        <f aca="false">IF($C125="","",IFERROR(INDEX(設定!$B$38:$B$40,MATCH($M125,設定!$A$38:$A$40,0)),1))</f>
        <v/>
      </c>
      <c r="X125" s="26" t="str">
        <f aca="false">IF($C125="","",ROUND(V125*W125,1))</f>
        <v/>
      </c>
      <c r="Y125" s="27" t="str">
        <f aca="false">IF($C125="","",INDEX(設定!$B$49:$B$53,MATCH(X125,設定!$A$49:$A$53,1)))</f>
        <v/>
      </c>
    </row>
    <row r="126" customFormat="false" ht="15" hidden="false" customHeight="false" outlineLevel="0" collapsed="false">
      <c r="A126" s="23" t="n">
        <v>122</v>
      </c>
      <c r="B126" s="24"/>
      <c r="C126" s="9"/>
      <c r="D126" s="9"/>
      <c r="E126" s="15"/>
      <c r="F126" s="9"/>
      <c r="G126" s="17"/>
      <c r="H126" s="9"/>
      <c r="I126" s="9"/>
      <c r="J126" s="9"/>
      <c r="K126" s="9"/>
      <c r="L126" s="17"/>
      <c r="M126" s="9"/>
      <c r="N126" s="9"/>
      <c r="O126" s="25" t="str">
        <f aca="false">IF($C126="","",IFERROR(INDEX(設定!$B$14:$B$18,MATCH($E126,設定!$A$14:$A$18,0)),0))</f>
        <v/>
      </c>
      <c r="P126" s="25" t="str">
        <f aca="false">IF($C126="","",IF(N($G126)&lt;=1,0,MIN(100,LOG10($G126)/LOG10(設定!$B$43)*100)))</f>
        <v/>
      </c>
      <c r="Q126" s="25" t="str">
        <f aca="false">IF($C126="","",IFERROR(INDEX(設定!$B$21:$B$24,MATCH($H126,設定!$A$21:$A$24,0)),0))</f>
        <v/>
      </c>
      <c r="R126" s="25" t="str">
        <f aca="false">IF($C126="","",IF(設定!$B$45&lt;=0,0,MIN(100,N($I126)/設定!$B$45*100)))</f>
        <v/>
      </c>
      <c r="S126" s="25" t="str">
        <f aca="false">IF($C126="","",IFERROR(INDEX(設定!$B$27:$B$29,MATCH($J126,設定!$A$27:$A$29,0)),0))</f>
        <v/>
      </c>
      <c r="T126" s="25" t="str">
        <f aca="false">IF($C126="","",IFERROR(INDEX(設定!$B$32:$B$35,MATCH($K126,設定!$A$32:$A$35,0)),0))</f>
        <v/>
      </c>
      <c r="U126" s="25" t="str">
        <f aca="false">IF($C126="","",IF(N($L126)&lt;1,0,MIN(100,LOG10($L126+1)/LOG10(設定!$B$44+1)*100)))</f>
        <v/>
      </c>
      <c r="V126" s="25" t="str">
        <f aca="false">IF($C126="","",IF(設定!$B$11=0,0,(O126*設定!$B$4+P126*設定!$B$5+Q126*設定!$B$6+R126*設定!$B$7+S126*設定!$B$8+T126*設定!$B$9+U126*設定!$B$10)/設定!$B$11))</f>
        <v/>
      </c>
      <c r="W126" s="25" t="str">
        <f aca="false">IF($C126="","",IFERROR(INDEX(設定!$B$38:$B$40,MATCH($M126,設定!$A$38:$A$40,0)),1))</f>
        <v/>
      </c>
      <c r="X126" s="26" t="str">
        <f aca="false">IF($C126="","",ROUND(V126*W126,1))</f>
        <v/>
      </c>
      <c r="Y126" s="27" t="str">
        <f aca="false">IF($C126="","",INDEX(設定!$B$49:$B$53,MATCH(X126,設定!$A$49:$A$53,1)))</f>
        <v/>
      </c>
    </row>
    <row r="127" customFormat="false" ht="15" hidden="false" customHeight="false" outlineLevel="0" collapsed="false">
      <c r="A127" s="23" t="n">
        <v>123</v>
      </c>
      <c r="B127" s="24"/>
      <c r="C127" s="9"/>
      <c r="D127" s="9"/>
      <c r="E127" s="15"/>
      <c r="F127" s="9"/>
      <c r="G127" s="17"/>
      <c r="H127" s="9"/>
      <c r="I127" s="9"/>
      <c r="J127" s="9"/>
      <c r="K127" s="9"/>
      <c r="L127" s="17"/>
      <c r="M127" s="9"/>
      <c r="N127" s="9"/>
      <c r="O127" s="25" t="str">
        <f aca="false">IF($C127="","",IFERROR(INDEX(設定!$B$14:$B$18,MATCH($E127,設定!$A$14:$A$18,0)),0))</f>
        <v/>
      </c>
      <c r="P127" s="25" t="str">
        <f aca="false">IF($C127="","",IF(N($G127)&lt;=1,0,MIN(100,LOG10($G127)/LOG10(設定!$B$43)*100)))</f>
        <v/>
      </c>
      <c r="Q127" s="25" t="str">
        <f aca="false">IF($C127="","",IFERROR(INDEX(設定!$B$21:$B$24,MATCH($H127,設定!$A$21:$A$24,0)),0))</f>
        <v/>
      </c>
      <c r="R127" s="25" t="str">
        <f aca="false">IF($C127="","",IF(設定!$B$45&lt;=0,0,MIN(100,N($I127)/設定!$B$45*100)))</f>
        <v/>
      </c>
      <c r="S127" s="25" t="str">
        <f aca="false">IF($C127="","",IFERROR(INDEX(設定!$B$27:$B$29,MATCH($J127,設定!$A$27:$A$29,0)),0))</f>
        <v/>
      </c>
      <c r="T127" s="25" t="str">
        <f aca="false">IF($C127="","",IFERROR(INDEX(設定!$B$32:$B$35,MATCH($K127,設定!$A$32:$A$35,0)),0))</f>
        <v/>
      </c>
      <c r="U127" s="25" t="str">
        <f aca="false">IF($C127="","",IF(N($L127)&lt;1,0,MIN(100,LOG10($L127+1)/LOG10(設定!$B$44+1)*100)))</f>
        <v/>
      </c>
      <c r="V127" s="25" t="str">
        <f aca="false">IF($C127="","",IF(設定!$B$11=0,0,(O127*設定!$B$4+P127*設定!$B$5+Q127*設定!$B$6+R127*設定!$B$7+S127*設定!$B$8+T127*設定!$B$9+U127*設定!$B$10)/設定!$B$11))</f>
        <v/>
      </c>
      <c r="W127" s="25" t="str">
        <f aca="false">IF($C127="","",IFERROR(INDEX(設定!$B$38:$B$40,MATCH($M127,設定!$A$38:$A$40,0)),1))</f>
        <v/>
      </c>
      <c r="X127" s="26" t="str">
        <f aca="false">IF($C127="","",ROUND(V127*W127,1))</f>
        <v/>
      </c>
      <c r="Y127" s="27" t="str">
        <f aca="false">IF($C127="","",INDEX(設定!$B$49:$B$53,MATCH(X127,設定!$A$49:$A$53,1)))</f>
        <v/>
      </c>
    </row>
    <row r="128" customFormat="false" ht="15" hidden="false" customHeight="false" outlineLevel="0" collapsed="false">
      <c r="A128" s="23" t="n">
        <v>124</v>
      </c>
      <c r="B128" s="24"/>
      <c r="C128" s="9"/>
      <c r="D128" s="9"/>
      <c r="E128" s="15"/>
      <c r="F128" s="9"/>
      <c r="G128" s="17"/>
      <c r="H128" s="9"/>
      <c r="I128" s="9"/>
      <c r="J128" s="9"/>
      <c r="K128" s="9"/>
      <c r="L128" s="17"/>
      <c r="M128" s="9"/>
      <c r="N128" s="9"/>
      <c r="O128" s="25" t="str">
        <f aca="false">IF($C128="","",IFERROR(INDEX(設定!$B$14:$B$18,MATCH($E128,設定!$A$14:$A$18,0)),0))</f>
        <v/>
      </c>
      <c r="P128" s="25" t="str">
        <f aca="false">IF($C128="","",IF(N($G128)&lt;=1,0,MIN(100,LOG10($G128)/LOG10(設定!$B$43)*100)))</f>
        <v/>
      </c>
      <c r="Q128" s="25" t="str">
        <f aca="false">IF($C128="","",IFERROR(INDEX(設定!$B$21:$B$24,MATCH($H128,設定!$A$21:$A$24,0)),0))</f>
        <v/>
      </c>
      <c r="R128" s="25" t="str">
        <f aca="false">IF($C128="","",IF(設定!$B$45&lt;=0,0,MIN(100,N($I128)/設定!$B$45*100)))</f>
        <v/>
      </c>
      <c r="S128" s="25" t="str">
        <f aca="false">IF($C128="","",IFERROR(INDEX(設定!$B$27:$B$29,MATCH($J128,設定!$A$27:$A$29,0)),0))</f>
        <v/>
      </c>
      <c r="T128" s="25" t="str">
        <f aca="false">IF($C128="","",IFERROR(INDEX(設定!$B$32:$B$35,MATCH($K128,設定!$A$32:$A$35,0)),0))</f>
        <v/>
      </c>
      <c r="U128" s="25" t="str">
        <f aca="false">IF($C128="","",IF(N($L128)&lt;1,0,MIN(100,LOG10($L128+1)/LOG10(設定!$B$44+1)*100)))</f>
        <v/>
      </c>
      <c r="V128" s="25" t="str">
        <f aca="false">IF($C128="","",IF(設定!$B$11=0,0,(O128*設定!$B$4+P128*設定!$B$5+Q128*設定!$B$6+R128*設定!$B$7+S128*設定!$B$8+T128*設定!$B$9+U128*設定!$B$10)/設定!$B$11))</f>
        <v/>
      </c>
      <c r="W128" s="25" t="str">
        <f aca="false">IF($C128="","",IFERROR(INDEX(設定!$B$38:$B$40,MATCH($M128,設定!$A$38:$A$40,0)),1))</f>
        <v/>
      </c>
      <c r="X128" s="26" t="str">
        <f aca="false">IF($C128="","",ROUND(V128*W128,1))</f>
        <v/>
      </c>
      <c r="Y128" s="27" t="str">
        <f aca="false">IF($C128="","",INDEX(設定!$B$49:$B$53,MATCH(X128,設定!$A$49:$A$53,1)))</f>
        <v/>
      </c>
    </row>
    <row r="129" customFormat="false" ht="15" hidden="false" customHeight="false" outlineLevel="0" collapsed="false">
      <c r="A129" s="23" t="n">
        <v>125</v>
      </c>
      <c r="B129" s="24"/>
      <c r="C129" s="9"/>
      <c r="D129" s="9"/>
      <c r="E129" s="15"/>
      <c r="F129" s="9"/>
      <c r="G129" s="17"/>
      <c r="H129" s="9"/>
      <c r="I129" s="9"/>
      <c r="J129" s="9"/>
      <c r="K129" s="9"/>
      <c r="L129" s="17"/>
      <c r="M129" s="9"/>
      <c r="N129" s="9"/>
      <c r="O129" s="25" t="str">
        <f aca="false">IF($C129="","",IFERROR(INDEX(設定!$B$14:$B$18,MATCH($E129,設定!$A$14:$A$18,0)),0))</f>
        <v/>
      </c>
      <c r="P129" s="25" t="str">
        <f aca="false">IF($C129="","",IF(N($G129)&lt;=1,0,MIN(100,LOG10($G129)/LOG10(設定!$B$43)*100)))</f>
        <v/>
      </c>
      <c r="Q129" s="25" t="str">
        <f aca="false">IF($C129="","",IFERROR(INDEX(設定!$B$21:$B$24,MATCH($H129,設定!$A$21:$A$24,0)),0))</f>
        <v/>
      </c>
      <c r="R129" s="25" t="str">
        <f aca="false">IF($C129="","",IF(設定!$B$45&lt;=0,0,MIN(100,N($I129)/設定!$B$45*100)))</f>
        <v/>
      </c>
      <c r="S129" s="25" t="str">
        <f aca="false">IF($C129="","",IFERROR(INDEX(設定!$B$27:$B$29,MATCH($J129,設定!$A$27:$A$29,0)),0))</f>
        <v/>
      </c>
      <c r="T129" s="25" t="str">
        <f aca="false">IF($C129="","",IFERROR(INDEX(設定!$B$32:$B$35,MATCH($K129,設定!$A$32:$A$35,0)),0))</f>
        <v/>
      </c>
      <c r="U129" s="25" t="str">
        <f aca="false">IF($C129="","",IF(N($L129)&lt;1,0,MIN(100,LOG10($L129+1)/LOG10(設定!$B$44+1)*100)))</f>
        <v/>
      </c>
      <c r="V129" s="25" t="str">
        <f aca="false">IF($C129="","",IF(設定!$B$11=0,0,(O129*設定!$B$4+P129*設定!$B$5+Q129*設定!$B$6+R129*設定!$B$7+S129*設定!$B$8+T129*設定!$B$9+U129*設定!$B$10)/設定!$B$11))</f>
        <v/>
      </c>
      <c r="W129" s="25" t="str">
        <f aca="false">IF($C129="","",IFERROR(INDEX(設定!$B$38:$B$40,MATCH($M129,設定!$A$38:$A$40,0)),1))</f>
        <v/>
      </c>
      <c r="X129" s="26" t="str">
        <f aca="false">IF($C129="","",ROUND(V129*W129,1))</f>
        <v/>
      </c>
      <c r="Y129" s="27" t="str">
        <f aca="false">IF($C129="","",INDEX(設定!$B$49:$B$53,MATCH(X129,設定!$A$49:$A$53,1)))</f>
        <v/>
      </c>
    </row>
    <row r="130" customFormat="false" ht="15" hidden="false" customHeight="false" outlineLevel="0" collapsed="false">
      <c r="A130" s="23" t="n">
        <v>126</v>
      </c>
      <c r="B130" s="24"/>
      <c r="C130" s="9"/>
      <c r="D130" s="9"/>
      <c r="E130" s="15"/>
      <c r="F130" s="9"/>
      <c r="G130" s="17"/>
      <c r="H130" s="9"/>
      <c r="I130" s="9"/>
      <c r="J130" s="9"/>
      <c r="K130" s="9"/>
      <c r="L130" s="17"/>
      <c r="M130" s="9"/>
      <c r="N130" s="9"/>
      <c r="O130" s="25" t="str">
        <f aca="false">IF($C130="","",IFERROR(INDEX(設定!$B$14:$B$18,MATCH($E130,設定!$A$14:$A$18,0)),0))</f>
        <v/>
      </c>
      <c r="P130" s="25" t="str">
        <f aca="false">IF($C130="","",IF(N($G130)&lt;=1,0,MIN(100,LOG10($G130)/LOG10(設定!$B$43)*100)))</f>
        <v/>
      </c>
      <c r="Q130" s="25" t="str">
        <f aca="false">IF($C130="","",IFERROR(INDEX(設定!$B$21:$B$24,MATCH($H130,設定!$A$21:$A$24,0)),0))</f>
        <v/>
      </c>
      <c r="R130" s="25" t="str">
        <f aca="false">IF($C130="","",IF(設定!$B$45&lt;=0,0,MIN(100,N($I130)/設定!$B$45*100)))</f>
        <v/>
      </c>
      <c r="S130" s="25" t="str">
        <f aca="false">IF($C130="","",IFERROR(INDEX(設定!$B$27:$B$29,MATCH($J130,設定!$A$27:$A$29,0)),0))</f>
        <v/>
      </c>
      <c r="T130" s="25" t="str">
        <f aca="false">IF($C130="","",IFERROR(INDEX(設定!$B$32:$B$35,MATCH($K130,設定!$A$32:$A$35,0)),0))</f>
        <v/>
      </c>
      <c r="U130" s="25" t="str">
        <f aca="false">IF($C130="","",IF(N($L130)&lt;1,0,MIN(100,LOG10($L130+1)/LOG10(設定!$B$44+1)*100)))</f>
        <v/>
      </c>
      <c r="V130" s="25" t="str">
        <f aca="false">IF($C130="","",IF(設定!$B$11=0,0,(O130*設定!$B$4+P130*設定!$B$5+Q130*設定!$B$6+R130*設定!$B$7+S130*設定!$B$8+T130*設定!$B$9+U130*設定!$B$10)/設定!$B$11))</f>
        <v/>
      </c>
      <c r="W130" s="25" t="str">
        <f aca="false">IF($C130="","",IFERROR(INDEX(設定!$B$38:$B$40,MATCH($M130,設定!$A$38:$A$40,0)),1))</f>
        <v/>
      </c>
      <c r="X130" s="26" t="str">
        <f aca="false">IF($C130="","",ROUND(V130*W130,1))</f>
        <v/>
      </c>
      <c r="Y130" s="27" t="str">
        <f aca="false">IF($C130="","",INDEX(設定!$B$49:$B$53,MATCH(X130,設定!$A$49:$A$53,1)))</f>
        <v/>
      </c>
    </row>
    <row r="131" customFormat="false" ht="15" hidden="false" customHeight="false" outlineLevel="0" collapsed="false">
      <c r="A131" s="23" t="n">
        <v>127</v>
      </c>
      <c r="B131" s="24"/>
      <c r="C131" s="9"/>
      <c r="D131" s="9"/>
      <c r="E131" s="15"/>
      <c r="F131" s="9"/>
      <c r="G131" s="17"/>
      <c r="H131" s="9"/>
      <c r="I131" s="9"/>
      <c r="J131" s="9"/>
      <c r="K131" s="9"/>
      <c r="L131" s="17"/>
      <c r="M131" s="9"/>
      <c r="N131" s="9"/>
      <c r="O131" s="25" t="str">
        <f aca="false">IF($C131="","",IFERROR(INDEX(設定!$B$14:$B$18,MATCH($E131,設定!$A$14:$A$18,0)),0))</f>
        <v/>
      </c>
      <c r="P131" s="25" t="str">
        <f aca="false">IF($C131="","",IF(N($G131)&lt;=1,0,MIN(100,LOG10($G131)/LOG10(設定!$B$43)*100)))</f>
        <v/>
      </c>
      <c r="Q131" s="25" t="str">
        <f aca="false">IF($C131="","",IFERROR(INDEX(設定!$B$21:$B$24,MATCH($H131,設定!$A$21:$A$24,0)),0))</f>
        <v/>
      </c>
      <c r="R131" s="25" t="str">
        <f aca="false">IF($C131="","",IF(設定!$B$45&lt;=0,0,MIN(100,N($I131)/設定!$B$45*100)))</f>
        <v/>
      </c>
      <c r="S131" s="25" t="str">
        <f aca="false">IF($C131="","",IFERROR(INDEX(設定!$B$27:$B$29,MATCH($J131,設定!$A$27:$A$29,0)),0))</f>
        <v/>
      </c>
      <c r="T131" s="25" t="str">
        <f aca="false">IF($C131="","",IFERROR(INDEX(設定!$B$32:$B$35,MATCH($K131,設定!$A$32:$A$35,0)),0))</f>
        <v/>
      </c>
      <c r="U131" s="25" t="str">
        <f aca="false">IF($C131="","",IF(N($L131)&lt;1,0,MIN(100,LOG10($L131+1)/LOG10(設定!$B$44+1)*100)))</f>
        <v/>
      </c>
      <c r="V131" s="25" t="str">
        <f aca="false">IF($C131="","",IF(設定!$B$11=0,0,(O131*設定!$B$4+P131*設定!$B$5+Q131*設定!$B$6+R131*設定!$B$7+S131*設定!$B$8+T131*設定!$B$9+U131*設定!$B$10)/設定!$B$11))</f>
        <v/>
      </c>
      <c r="W131" s="25" t="str">
        <f aca="false">IF($C131="","",IFERROR(INDEX(設定!$B$38:$B$40,MATCH($M131,設定!$A$38:$A$40,0)),1))</f>
        <v/>
      </c>
      <c r="X131" s="26" t="str">
        <f aca="false">IF($C131="","",ROUND(V131*W131,1))</f>
        <v/>
      </c>
      <c r="Y131" s="27" t="str">
        <f aca="false">IF($C131="","",INDEX(設定!$B$49:$B$53,MATCH(X131,設定!$A$49:$A$53,1)))</f>
        <v/>
      </c>
    </row>
    <row r="132" customFormat="false" ht="15" hidden="false" customHeight="false" outlineLevel="0" collapsed="false">
      <c r="A132" s="23" t="n">
        <v>128</v>
      </c>
      <c r="B132" s="24"/>
      <c r="C132" s="9"/>
      <c r="D132" s="9"/>
      <c r="E132" s="15"/>
      <c r="F132" s="9"/>
      <c r="G132" s="17"/>
      <c r="H132" s="9"/>
      <c r="I132" s="9"/>
      <c r="J132" s="9"/>
      <c r="K132" s="9"/>
      <c r="L132" s="17"/>
      <c r="M132" s="9"/>
      <c r="N132" s="9"/>
      <c r="O132" s="25" t="str">
        <f aca="false">IF($C132="","",IFERROR(INDEX(設定!$B$14:$B$18,MATCH($E132,設定!$A$14:$A$18,0)),0))</f>
        <v/>
      </c>
      <c r="P132" s="25" t="str">
        <f aca="false">IF($C132="","",IF(N($G132)&lt;=1,0,MIN(100,LOG10($G132)/LOG10(設定!$B$43)*100)))</f>
        <v/>
      </c>
      <c r="Q132" s="25" t="str">
        <f aca="false">IF($C132="","",IFERROR(INDEX(設定!$B$21:$B$24,MATCH($H132,設定!$A$21:$A$24,0)),0))</f>
        <v/>
      </c>
      <c r="R132" s="25" t="str">
        <f aca="false">IF($C132="","",IF(設定!$B$45&lt;=0,0,MIN(100,N($I132)/設定!$B$45*100)))</f>
        <v/>
      </c>
      <c r="S132" s="25" t="str">
        <f aca="false">IF($C132="","",IFERROR(INDEX(設定!$B$27:$B$29,MATCH($J132,設定!$A$27:$A$29,0)),0))</f>
        <v/>
      </c>
      <c r="T132" s="25" t="str">
        <f aca="false">IF($C132="","",IFERROR(INDEX(設定!$B$32:$B$35,MATCH($K132,設定!$A$32:$A$35,0)),0))</f>
        <v/>
      </c>
      <c r="U132" s="25" t="str">
        <f aca="false">IF($C132="","",IF(N($L132)&lt;1,0,MIN(100,LOG10($L132+1)/LOG10(設定!$B$44+1)*100)))</f>
        <v/>
      </c>
      <c r="V132" s="25" t="str">
        <f aca="false">IF($C132="","",IF(設定!$B$11=0,0,(O132*設定!$B$4+P132*設定!$B$5+Q132*設定!$B$6+R132*設定!$B$7+S132*設定!$B$8+T132*設定!$B$9+U132*設定!$B$10)/設定!$B$11))</f>
        <v/>
      </c>
      <c r="W132" s="25" t="str">
        <f aca="false">IF($C132="","",IFERROR(INDEX(設定!$B$38:$B$40,MATCH($M132,設定!$A$38:$A$40,0)),1))</f>
        <v/>
      </c>
      <c r="X132" s="26" t="str">
        <f aca="false">IF($C132="","",ROUND(V132*W132,1))</f>
        <v/>
      </c>
      <c r="Y132" s="27" t="str">
        <f aca="false">IF($C132="","",INDEX(設定!$B$49:$B$53,MATCH(X132,設定!$A$49:$A$53,1)))</f>
        <v/>
      </c>
    </row>
    <row r="133" customFormat="false" ht="15" hidden="false" customHeight="false" outlineLevel="0" collapsed="false">
      <c r="A133" s="23" t="n">
        <v>129</v>
      </c>
      <c r="B133" s="24"/>
      <c r="C133" s="9"/>
      <c r="D133" s="9"/>
      <c r="E133" s="15"/>
      <c r="F133" s="9"/>
      <c r="G133" s="17"/>
      <c r="H133" s="9"/>
      <c r="I133" s="9"/>
      <c r="J133" s="9"/>
      <c r="K133" s="9"/>
      <c r="L133" s="17"/>
      <c r="M133" s="9"/>
      <c r="N133" s="9"/>
      <c r="O133" s="25" t="str">
        <f aca="false">IF($C133="","",IFERROR(INDEX(設定!$B$14:$B$18,MATCH($E133,設定!$A$14:$A$18,0)),0))</f>
        <v/>
      </c>
      <c r="P133" s="25" t="str">
        <f aca="false">IF($C133="","",IF(N($G133)&lt;=1,0,MIN(100,LOG10($G133)/LOG10(設定!$B$43)*100)))</f>
        <v/>
      </c>
      <c r="Q133" s="25" t="str">
        <f aca="false">IF($C133="","",IFERROR(INDEX(設定!$B$21:$B$24,MATCH($H133,設定!$A$21:$A$24,0)),0))</f>
        <v/>
      </c>
      <c r="R133" s="25" t="str">
        <f aca="false">IF($C133="","",IF(設定!$B$45&lt;=0,0,MIN(100,N($I133)/設定!$B$45*100)))</f>
        <v/>
      </c>
      <c r="S133" s="25" t="str">
        <f aca="false">IF($C133="","",IFERROR(INDEX(設定!$B$27:$B$29,MATCH($J133,設定!$A$27:$A$29,0)),0))</f>
        <v/>
      </c>
      <c r="T133" s="25" t="str">
        <f aca="false">IF($C133="","",IFERROR(INDEX(設定!$B$32:$B$35,MATCH($K133,設定!$A$32:$A$35,0)),0))</f>
        <v/>
      </c>
      <c r="U133" s="25" t="str">
        <f aca="false">IF($C133="","",IF(N($L133)&lt;1,0,MIN(100,LOG10($L133+1)/LOG10(設定!$B$44+1)*100)))</f>
        <v/>
      </c>
      <c r="V133" s="25" t="str">
        <f aca="false">IF($C133="","",IF(設定!$B$11=0,0,(O133*設定!$B$4+P133*設定!$B$5+Q133*設定!$B$6+R133*設定!$B$7+S133*設定!$B$8+T133*設定!$B$9+U133*設定!$B$10)/設定!$B$11))</f>
        <v/>
      </c>
      <c r="W133" s="25" t="str">
        <f aca="false">IF($C133="","",IFERROR(INDEX(設定!$B$38:$B$40,MATCH($M133,設定!$A$38:$A$40,0)),1))</f>
        <v/>
      </c>
      <c r="X133" s="26" t="str">
        <f aca="false">IF($C133="","",ROUND(V133*W133,1))</f>
        <v/>
      </c>
      <c r="Y133" s="27" t="str">
        <f aca="false">IF($C133="","",INDEX(設定!$B$49:$B$53,MATCH(X133,設定!$A$49:$A$53,1)))</f>
        <v/>
      </c>
    </row>
    <row r="134" customFormat="false" ht="15" hidden="false" customHeight="false" outlineLevel="0" collapsed="false">
      <c r="A134" s="23" t="n">
        <v>130</v>
      </c>
      <c r="B134" s="24"/>
      <c r="C134" s="9"/>
      <c r="D134" s="9"/>
      <c r="E134" s="15"/>
      <c r="F134" s="9"/>
      <c r="G134" s="17"/>
      <c r="H134" s="9"/>
      <c r="I134" s="9"/>
      <c r="J134" s="9"/>
      <c r="K134" s="9"/>
      <c r="L134" s="17"/>
      <c r="M134" s="9"/>
      <c r="N134" s="9"/>
      <c r="O134" s="25" t="str">
        <f aca="false">IF($C134="","",IFERROR(INDEX(設定!$B$14:$B$18,MATCH($E134,設定!$A$14:$A$18,0)),0))</f>
        <v/>
      </c>
      <c r="P134" s="25" t="str">
        <f aca="false">IF($C134="","",IF(N($G134)&lt;=1,0,MIN(100,LOG10($G134)/LOG10(設定!$B$43)*100)))</f>
        <v/>
      </c>
      <c r="Q134" s="25" t="str">
        <f aca="false">IF($C134="","",IFERROR(INDEX(設定!$B$21:$B$24,MATCH($H134,設定!$A$21:$A$24,0)),0))</f>
        <v/>
      </c>
      <c r="R134" s="25" t="str">
        <f aca="false">IF($C134="","",IF(設定!$B$45&lt;=0,0,MIN(100,N($I134)/設定!$B$45*100)))</f>
        <v/>
      </c>
      <c r="S134" s="25" t="str">
        <f aca="false">IF($C134="","",IFERROR(INDEX(設定!$B$27:$B$29,MATCH($J134,設定!$A$27:$A$29,0)),0))</f>
        <v/>
      </c>
      <c r="T134" s="25" t="str">
        <f aca="false">IF($C134="","",IFERROR(INDEX(設定!$B$32:$B$35,MATCH($K134,設定!$A$32:$A$35,0)),0))</f>
        <v/>
      </c>
      <c r="U134" s="25" t="str">
        <f aca="false">IF($C134="","",IF(N($L134)&lt;1,0,MIN(100,LOG10($L134+1)/LOG10(設定!$B$44+1)*100)))</f>
        <v/>
      </c>
      <c r="V134" s="25" t="str">
        <f aca="false">IF($C134="","",IF(設定!$B$11=0,0,(O134*設定!$B$4+P134*設定!$B$5+Q134*設定!$B$6+R134*設定!$B$7+S134*設定!$B$8+T134*設定!$B$9+U134*設定!$B$10)/設定!$B$11))</f>
        <v/>
      </c>
      <c r="W134" s="25" t="str">
        <f aca="false">IF($C134="","",IFERROR(INDEX(設定!$B$38:$B$40,MATCH($M134,設定!$A$38:$A$40,0)),1))</f>
        <v/>
      </c>
      <c r="X134" s="26" t="str">
        <f aca="false">IF($C134="","",ROUND(V134*W134,1))</f>
        <v/>
      </c>
      <c r="Y134" s="27" t="str">
        <f aca="false">IF($C134="","",INDEX(設定!$B$49:$B$53,MATCH(X134,設定!$A$49:$A$53,1)))</f>
        <v/>
      </c>
    </row>
    <row r="135" customFormat="false" ht="15" hidden="false" customHeight="false" outlineLevel="0" collapsed="false">
      <c r="A135" s="23" t="n">
        <v>131</v>
      </c>
      <c r="B135" s="24"/>
      <c r="C135" s="9"/>
      <c r="D135" s="9"/>
      <c r="E135" s="15"/>
      <c r="F135" s="9"/>
      <c r="G135" s="17"/>
      <c r="H135" s="9"/>
      <c r="I135" s="9"/>
      <c r="J135" s="9"/>
      <c r="K135" s="9"/>
      <c r="L135" s="17"/>
      <c r="M135" s="9"/>
      <c r="N135" s="9"/>
      <c r="O135" s="25" t="str">
        <f aca="false">IF($C135="","",IFERROR(INDEX(設定!$B$14:$B$18,MATCH($E135,設定!$A$14:$A$18,0)),0))</f>
        <v/>
      </c>
      <c r="P135" s="25" t="str">
        <f aca="false">IF($C135="","",IF(N($G135)&lt;=1,0,MIN(100,LOG10($G135)/LOG10(設定!$B$43)*100)))</f>
        <v/>
      </c>
      <c r="Q135" s="25" t="str">
        <f aca="false">IF($C135="","",IFERROR(INDEX(設定!$B$21:$B$24,MATCH($H135,設定!$A$21:$A$24,0)),0))</f>
        <v/>
      </c>
      <c r="R135" s="25" t="str">
        <f aca="false">IF($C135="","",IF(設定!$B$45&lt;=0,0,MIN(100,N($I135)/設定!$B$45*100)))</f>
        <v/>
      </c>
      <c r="S135" s="25" t="str">
        <f aca="false">IF($C135="","",IFERROR(INDEX(設定!$B$27:$B$29,MATCH($J135,設定!$A$27:$A$29,0)),0))</f>
        <v/>
      </c>
      <c r="T135" s="25" t="str">
        <f aca="false">IF($C135="","",IFERROR(INDEX(設定!$B$32:$B$35,MATCH($K135,設定!$A$32:$A$35,0)),0))</f>
        <v/>
      </c>
      <c r="U135" s="25" t="str">
        <f aca="false">IF($C135="","",IF(N($L135)&lt;1,0,MIN(100,LOG10($L135+1)/LOG10(設定!$B$44+1)*100)))</f>
        <v/>
      </c>
      <c r="V135" s="25" t="str">
        <f aca="false">IF($C135="","",IF(設定!$B$11=0,0,(O135*設定!$B$4+P135*設定!$B$5+Q135*設定!$B$6+R135*設定!$B$7+S135*設定!$B$8+T135*設定!$B$9+U135*設定!$B$10)/設定!$B$11))</f>
        <v/>
      </c>
      <c r="W135" s="25" t="str">
        <f aca="false">IF($C135="","",IFERROR(INDEX(設定!$B$38:$B$40,MATCH($M135,設定!$A$38:$A$40,0)),1))</f>
        <v/>
      </c>
      <c r="X135" s="26" t="str">
        <f aca="false">IF($C135="","",ROUND(V135*W135,1))</f>
        <v/>
      </c>
      <c r="Y135" s="27" t="str">
        <f aca="false">IF($C135="","",INDEX(設定!$B$49:$B$53,MATCH(X135,設定!$A$49:$A$53,1)))</f>
        <v/>
      </c>
    </row>
    <row r="136" customFormat="false" ht="15" hidden="false" customHeight="false" outlineLevel="0" collapsed="false">
      <c r="A136" s="23" t="n">
        <v>132</v>
      </c>
      <c r="B136" s="24"/>
      <c r="C136" s="9"/>
      <c r="D136" s="9"/>
      <c r="E136" s="15"/>
      <c r="F136" s="9"/>
      <c r="G136" s="17"/>
      <c r="H136" s="9"/>
      <c r="I136" s="9"/>
      <c r="J136" s="9"/>
      <c r="K136" s="9"/>
      <c r="L136" s="17"/>
      <c r="M136" s="9"/>
      <c r="N136" s="9"/>
      <c r="O136" s="25" t="str">
        <f aca="false">IF($C136="","",IFERROR(INDEX(設定!$B$14:$B$18,MATCH($E136,設定!$A$14:$A$18,0)),0))</f>
        <v/>
      </c>
      <c r="P136" s="25" t="str">
        <f aca="false">IF($C136="","",IF(N($G136)&lt;=1,0,MIN(100,LOG10($G136)/LOG10(設定!$B$43)*100)))</f>
        <v/>
      </c>
      <c r="Q136" s="25" t="str">
        <f aca="false">IF($C136="","",IFERROR(INDEX(設定!$B$21:$B$24,MATCH($H136,設定!$A$21:$A$24,0)),0))</f>
        <v/>
      </c>
      <c r="R136" s="25" t="str">
        <f aca="false">IF($C136="","",IF(設定!$B$45&lt;=0,0,MIN(100,N($I136)/設定!$B$45*100)))</f>
        <v/>
      </c>
      <c r="S136" s="25" t="str">
        <f aca="false">IF($C136="","",IFERROR(INDEX(設定!$B$27:$B$29,MATCH($J136,設定!$A$27:$A$29,0)),0))</f>
        <v/>
      </c>
      <c r="T136" s="25" t="str">
        <f aca="false">IF($C136="","",IFERROR(INDEX(設定!$B$32:$B$35,MATCH($K136,設定!$A$32:$A$35,0)),0))</f>
        <v/>
      </c>
      <c r="U136" s="25" t="str">
        <f aca="false">IF($C136="","",IF(N($L136)&lt;1,0,MIN(100,LOG10($L136+1)/LOG10(設定!$B$44+1)*100)))</f>
        <v/>
      </c>
      <c r="V136" s="25" t="str">
        <f aca="false">IF($C136="","",IF(設定!$B$11=0,0,(O136*設定!$B$4+P136*設定!$B$5+Q136*設定!$B$6+R136*設定!$B$7+S136*設定!$B$8+T136*設定!$B$9+U136*設定!$B$10)/設定!$B$11))</f>
        <v/>
      </c>
      <c r="W136" s="25" t="str">
        <f aca="false">IF($C136="","",IFERROR(INDEX(設定!$B$38:$B$40,MATCH($M136,設定!$A$38:$A$40,0)),1))</f>
        <v/>
      </c>
      <c r="X136" s="26" t="str">
        <f aca="false">IF($C136="","",ROUND(V136*W136,1))</f>
        <v/>
      </c>
      <c r="Y136" s="27" t="str">
        <f aca="false">IF($C136="","",INDEX(設定!$B$49:$B$53,MATCH(X136,設定!$A$49:$A$53,1)))</f>
        <v/>
      </c>
    </row>
    <row r="137" customFormat="false" ht="15" hidden="false" customHeight="false" outlineLevel="0" collapsed="false">
      <c r="A137" s="23" t="n">
        <v>133</v>
      </c>
      <c r="B137" s="24"/>
      <c r="C137" s="9"/>
      <c r="D137" s="9"/>
      <c r="E137" s="15"/>
      <c r="F137" s="9"/>
      <c r="G137" s="17"/>
      <c r="H137" s="9"/>
      <c r="I137" s="9"/>
      <c r="J137" s="9"/>
      <c r="K137" s="9"/>
      <c r="L137" s="17"/>
      <c r="M137" s="9"/>
      <c r="N137" s="9"/>
      <c r="O137" s="25" t="str">
        <f aca="false">IF($C137="","",IFERROR(INDEX(設定!$B$14:$B$18,MATCH($E137,設定!$A$14:$A$18,0)),0))</f>
        <v/>
      </c>
      <c r="P137" s="25" t="str">
        <f aca="false">IF($C137="","",IF(N($G137)&lt;=1,0,MIN(100,LOG10($G137)/LOG10(設定!$B$43)*100)))</f>
        <v/>
      </c>
      <c r="Q137" s="25" t="str">
        <f aca="false">IF($C137="","",IFERROR(INDEX(設定!$B$21:$B$24,MATCH($H137,設定!$A$21:$A$24,0)),0))</f>
        <v/>
      </c>
      <c r="R137" s="25" t="str">
        <f aca="false">IF($C137="","",IF(設定!$B$45&lt;=0,0,MIN(100,N($I137)/設定!$B$45*100)))</f>
        <v/>
      </c>
      <c r="S137" s="25" t="str">
        <f aca="false">IF($C137="","",IFERROR(INDEX(設定!$B$27:$B$29,MATCH($J137,設定!$A$27:$A$29,0)),0))</f>
        <v/>
      </c>
      <c r="T137" s="25" t="str">
        <f aca="false">IF($C137="","",IFERROR(INDEX(設定!$B$32:$B$35,MATCH($K137,設定!$A$32:$A$35,0)),0))</f>
        <v/>
      </c>
      <c r="U137" s="25" t="str">
        <f aca="false">IF($C137="","",IF(N($L137)&lt;1,0,MIN(100,LOG10($L137+1)/LOG10(設定!$B$44+1)*100)))</f>
        <v/>
      </c>
      <c r="V137" s="25" t="str">
        <f aca="false">IF($C137="","",IF(設定!$B$11=0,0,(O137*設定!$B$4+P137*設定!$B$5+Q137*設定!$B$6+R137*設定!$B$7+S137*設定!$B$8+T137*設定!$B$9+U137*設定!$B$10)/設定!$B$11))</f>
        <v/>
      </c>
      <c r="W137" s="25" t="str">
        <f aca="false">IF($C137="","",IFERROR(INDEX(設定!$B$38:$B$40,MATCH($M137,設定!$A$38:$A$40,0)),1))</f>
        <v/>
      </c>
      <c r="X137" s="26" t="str">
        <f aca="false">IF($C137="","",ROUND(V137*W137,1))</f>
        <v/>
      </c>
      <c r="Y137" s="27" t="str">
        <f aca="false">IF($C137="","",INDEX(設定!$B$49:$B$53,MATCH(X137,設定!$A$49:$A$53,1)))</f>
        <v/>
      </c>
    </row>
    <row r="138" customFormat="false" ht="15" hidden="false" customHeight="false" outlineLevel="0" collapsed="false">
      <c r="A138" s="23" t="n">
        <v>134</v>
      </c>
      <c r="B138" s="24"/>
      <c r="C138" s="9"/>
      <c r="D138" s="9"/>
      <c r="E138" s="15"/>
      <c r="F138" s="9"/>
      <c r="G138" s="17"/>
      <c r="H138" s="9"/>
      <c r="I138" s="9"/>
      <c r="J138" s="9"/>
      <c r="K138" s="9"/>
      <c r="L138" s="17"/>
      <c r="M138" s="9"/>
      <c r="N138" s="9"/>
      <c r="O138" s="25" t="str">
        <f aca="false">IF($C138="","",IFERROR(INDEX(設定!$B$14:$B$18,MATCH($E138,設定!$A$14:$A$18,0)),0))</f>
        <v/>
      </c>
      <c r="P138" s="25" t="str">
        <f aca="false">IF($C138="","",IF(N($G138)&lt;=1,0,MIN(100,LOG10($G138)/LOG10(設定!$B$43)*100)))</f>
        <v/>
      </c>
      <c r="Q138" s="25" t="str">
        <f aca="false">IF($C138="","",IFERROR(INDEX(設定!$B$21:$B$24,MATCH($H138,設定!$A$21:$A$24,0)),0))</f>
        <v/>
      </c>
      <c r="R138" s="25" t="str">
        <f aca="false">IF($C138="","",IF(設定!$B$45&lt;=0,0,MIN(100,N($I138)/設定!$B$45*100)))</f>
        <v/>
      </c>
      <c r="S138" s="25" t="str">
        <f aca="false">IF($C138="","",IFERROR(INDEX(設定!$B$27:$B$29,MATCH($J138,設定!$A$27:$A$29,0)),0))</f>
        <v/>
      </c>
      <c r="T138" s="25" t="str">
        <f aca="false">IF($C138="","",IFERROR(INDEX(設定!$B$32:$B$35,MATCH($K138,設定!$A$32:$A$35,0)),0))</f>
        <v/>
      </c>
      <c r="U138" s="25" t="str">
        <f aca="false">IF($C138="","",IF(N($L138)&lt;1,0,MIN(100,LOG10($L138+1)/LOG10(設定!$B$44+1)*100)))</f>
        <v/>
      </c>
      <c r="V138" s="25" t="str">
        <f aca="false">IF($C138="","",IF(設定!$B$11=0,0,(O138*設定!$B$4+P138*設定!$B$5+Q138*設定!$B$6+R138*設定!$B$7+S138*設定!$B$8+T138*設定!$B$9+U138*設定!$B$10)/設定!$B$11))</f>
        <v/>
      </c>
      <c r="W138" s="25" t="str">
        <f aca="false">IF($C138="","",IFERROR(INDEX(設定!$B$38:$B$40,MATCH($M138,設定!$A$38:$A$40,0)),1))</f>
        <v/>
      </c>
      <c r="X138" s="26" t="str">
        <f aca="false">IF($C138="","",ROUND(V138*W138,1))</f>
        <v/>
      </c>
      <c r="Y138" s="27" t="str">
        <f aca="false">IF($C138="","",INDEX(設定!$B$49:$B$53,MATCH(X138,設定!$A$49:$A$53,1)))</f>
        <v/>
      </c>
    </row>
    <row r="139" customFormat="false" ht="15" hidden="false" customHeight="false" outlineLevel="0" collapsed="false">
      <c r="A139" s="23" t="n">
        <v>135</v>
      </c>
      <c r="B139" s="24"/>
      <c r="C139" s="9"/>
      <c r="D139" s="9"/>
      <c r="E139" s="15"/>
      <c r="F139" s="9"/>
      <c r="G139" s="17"/>
      <c r="H139" s="9"/>
      <c r="I139" s="9"/>
      <c r="J139" s="9"/>
      <c r="K139" s="9"/>
      <c r="L139" s="17"/>
      <c r="M139" s="9"/>
      <c r="N139" s="9"/>
      <c r="O139" s="25" t="str">
        <f aca="false">IF($C139="","",IFERROR(INDEX(設定!$B$14:$B$18,MATCH($E139,設定!$A$14:$A$18,0)),0))</f>
        <v/>
      </c>
      <c r="P139" s="25" t="str">
        <f aca="false">IF($C139="","",IF(N($G139)&lt;=1,0,MIN(100,LOG10($G139)/LOG10(設定!$B$43)*100)))</f>
        <v/>
      </c>
      <c r="Q139" s="25" t="str">
        <f aca="false">IF($C139="","",IFERROR(INDEX(設定!$B$21:$B$24,MATCH($H139,設定!$A$21:$A$24,0)),0))</f>
        <v/>
      </c>
      <c r="R139" s="25" t="str">
        <f aca="false">IF($C139="","",IF(設定!$B$45&lt;=0,0,MIN(100,N($I139)/設定!$B$45*100)))</f>
        <v/>
      </c>
      <c r="S139" s="25" t="str">
        <f aca="false">IF($C139="","",IFERROR(INDEX(設定!$B$27:$B$29,MATCH($J139,設定!$A$27:$A$29,0)),0))</f>
        <v/>
      </c>
      <c r="T139" s="25" t="str">
        <f aca="false">IF($C139="","",IFERROR(INDEX(設定!$B$32:$B$35,MATCH($K139,設定!$A$32:$A$35,0)),0))</f>
        <v/>
      </c>
      <c r="U139" s="25" t="str">
        <f aca="false">IF($C139="","",IF(N($L139)&lt;1,0,MIN(100,LOG10($L139+1)/LOG10(設定!$B$44+1)*100)))</f>
        <v/>
      </c>
      <c r="V139" s="25" t="str">
        <f aca="false">IF($C139="","",IF(設定!$B$11=0,0,(O139*設定!$B$4+P139*設定!$B$5+Q139*設定!$B$6+R139*設定!$B$7+S139*設定!$B$8+T139*設定!$B$9+U139*設定!$B$10)/設定!$B$11))</f>
        <v/>
      </c>
      <c r="W139" s="25" t="str">
        <f aca="false">IF($C139="","",IFERROR(INDEX(設定!$B$38:$B$40,MATCH($M139,設定!$A$38:$A$40,0)),1))</f>
        <v/>
      </c>
      <c r="X139" s="26" t="str">
        <f aca="false">IF($C139="","",ROUND(V139*W139,1))</f>
        <v/>
      </c>
      <c r="Y139" s="27" t="str">
        <f aca="false">IF($C139="","",INDEX(設定!$B$49:$B$53,MATCH(X139,設定!$A$49:$A$53,1)))</f>
        <v/>
      </c>
    </row>
    <row r="140" customFormat="false" ht="15" hidden="false" customHeight="false" outlineLevel="0" collapsed="false">
      <c r="A140" s="23" t="n">
        <v>136</v>
      </c>
      <c r="B140" s="24"/>
      <c r="C140" s="9"/>
      <c r="D140" s="9"/>
      <c r="E140" s="15"/>
      <c r="F140" s="9"/>
      <c r="G140" s="17"/>
      <c r="H140" s="9"/>
      <c r="I140" s="9"/>
      <c r="J140" s="9"/>
      <c r="K140" s="9"/>
      <c r="L140" s="17"/>
      <c r="M140" s="9"/>
      <c r="N140" s="9"/>
      <c r="O140" s="25" t="str">
        <f aca="false">IF($C140="","",IFERROR(INDEX(設定!$B$14:$B$18,MATCH($E140,設定!$A$14:$A$18,0)),0))</f>
        <v/>
      </c>
      <c r="P140" s="25" t="str">
        <f aca="false">IF($C140="","",IF(N($G140)&lt;=1,0,MIN(100,LOG10($G140)/LOG10(設定!$B$43)*100)))</f>
        <v/>
      </c>
      <c r="Q140" s="25" t="str">
        <f aca="false">IF($C140="","",IFERROR(INDEX(設定!$B$21:$B$24,MATCH($H140,設定!$A$21:$A$24,0)),0))</f>
        <v/>
      </c>
      <c r="R140" s="25" t="str">
        <f aca="false">IF($C140="","",IF(設定!$B$45&lt;=0,0,MIN(100,N($I140)/設定!$B$45*100)))</f>
        <v/>
      </c>
      <c r="S140" s="25" t="str">
        <f aca="false">IF($C140="","",IFERROR(INDEX(設定!$B$27:$B$29,MATCH($J140,設定!$A$27:$A$29,0)),0))</f>
        <v/>
      </c>
      <c r="T140" s="25" t="str">
        <f aca="false">IF($C140="","",IFERROR(INDEX(設定!$B$32:$B$35,MATCH($K140,設定!$A$32:$A$35,0)),0))</f>
        <v/>
      </c>
      <c r="U140" s="25" t="str">
        <f aca="false">IF($C140="","",IF(N($L140)&lt;1,0,MIN(100,LOG10($L140+1)/LOG10(設定!$B$44+1)*100)))</f>
        <v/>
      </c>
      <c r="V140" s="25" t="str">
        <f aca="false">IF($C140="","",IF(設定!$B$11=0,0,(O140*設定!$B$4+P140*設定!$B$5+Q140*設定!$B$6+R140*設定!$B$7+S140*設定!$B$8+T140*設定!$B$9+U140*設定!$B$10)/設定!$B$11))</f>
        <v/>
      </c>
      <c r="W140" s="25" t="str">
        <f aca="false">IF($C140="","",IFERROR(INDEX(設定!$B$38:$B$40,MATCH($M140,設定!$A$38:$A$40,0)),1))</f>
        <v/>
      </c>
      <c r="X140" s="26" t="str">
        <f aca="false">IF($C140="","",ROUND(V140*W140,1))</f>
        <v/>
      </c>
      <c r="Y140" s="27" t="str">
        <f aca="false">IF($C140="","",INDEX(設定!$B$49:$B$53,MATCH(X140,設定!$A$49:$A$53,1)))</f>
        <v/>
      </c>
    </row>
    <row r="141" customFormat="false" ht="15" hidden="false" customHeight="false" outlineLevel="0" collapsed="false">
      <c r="A141" s="23" t="n">
        <v>137</v>
      </c>
      <c r="B141" s="24"/>
      <c r="C141" s="9"/>
      <c r="D141" s="9"/>
      <c r="E141" s="15"/>
      <c r="F141" s="9"/>
      <c r="G141" s="17"/>
      <c r="H141" s="9"/>
      <c r="I141" s="9"/>
      <c r="J141" s="9"/>
      <c r="K141" s="9"/>
      <c r="L141" s="17"/>
      <c r="M141" s="9"/>
      <c r="N141" s="9"/>
      <c r="O141" s="25" t="str">
        <f aca="false">IF($C141="","",IFERROR(INDEX(設定!$B$14:$B$18,MATCH($E141,設定!$A$14:$A$18,0)),0))</f>
        <v/>
      </c>
      <c r="P141" s="25" t="str">
        <f aca="false">IF($C141="","",IF(N($G141)&lt;=1,0,MIN(100,LOG10($G141)/LOG10(設定!$B$43)*100)))</f>
        <v/>
      </c>
      <c r="Q141" s="25" t="str">
        <f aca="false">IF($C141="","",IFERROR(INDEX(設定!$B$21:$B$24,MATCH($H141,設定!$A$21:$A$24,0)),0))</f>
        <v/>
      </c>
      <c r="R141" s="25" t="str">
        <f aca="false">IF($C141="","",IF(設定!$B$45&lt;=0,0,MIN(100,N($I141)/設定!$B$45*100)))</f>
        <v/>
      </c>
      <c r="S141" s="25" t="str">
        <f aca="false">IF($C141="","",IFERROR(INDEX(設定!$B$27:$B$29,MATCH($J141,設定!$A$27:$A$29,0)),0))</f>
        <v/>
      </c>
      <c r="T141" s="25" t="str">
        <f aca="false">IF($C141="","",IFERROR(INDEX(設定!$B$32:$B$35,MATCH($K141,設定!$A$32:$A$35,0)),0))</f>
        <v/>
      </c>
      <c r="U141" s="25" t="str">
        <f aca="false">IF($C141="","",IF(N($L141)&lt;1,0,MIN(100,LOG10($L141+1)/LOG10(設定!$B$44+1)*100)))</f>
        <v/>
      </c>
      <c r="V141" s="25" t="str">
        <f aca="false">IF($C141="","",IF(設定!$B$11=0,0,(O141*設定!$B$4+P141*設定!$B$5+Q141*設定!$B$6+R141*設定!$B$7+S141*設定!$B$8+T141*設定!$B$9+U141*設定!$B$10)/設定!$B$11))</f>
        <v/>
      </c>
      <c r="W141" s="25" t="str">
        <f aca="false">IF($C141="","",IFERROR(INDEX(設定!$B$38:$B$40,MATCH($M141,設定!$A$38:$A$40,0)),1))</f>
        <v/>
      </c>
      <c r="X141" s="26" t="str">
        <f aca="false">IF($C141="","",ROUND(V141*W141,1))</f>
        <v/>
      </c>
      <c r="Y141" s="27" t="str">
        <f aca="false">IF($C141="","",INDEX(設定!$B$49:$B$53,MATCH(X141,設定!$A$49:$A$53,1)))</f>
        <v/>
      </c>
    </row>
    <row r="142" customFormat="false" ht="15" hidden="false" customHeight="false" outlineLevel="0" collapsed="false">
      <c r="A142" s="23" t="n">
        <v>138</v>
      </c>
      <c r="B142" s="24"/>
      <c r="C142" s="9"/>
      <c r="D142" s="9"/>
      <c r="E142" s="15"/>
      <c r="F142" s="9"/>
      <c r="G142" s="17"/>
      <c r="H142" s="9"/>
      <c r="I142" s="9"/>
      <c r="J142" s="9"/>
      <c r="K142" s="9"/>
      <c r="L142" s="17"/>
      <c r="M142" s="9"/>
      <c r="N142" s="9"/>
      <c r="O142" s="25" t="str">
        <f aca="false">IF($C142="","",IFERROR(INDEX(設定!$B$14:$B$18,MATCH($E142,設定!$A$14:$A$18,0)),0))</f>
        <v/>
      </c>
      <c r="P142" s="25" t="str">
        <f aca="false">IF($C142="","",IF(N($G142)&lt;=1,0,MIN(100,LOG10($G142)/LOG10(設定!$B$43)*100)))</f>
        <v/>
      </c>
      <c r="Q142" s="25" t="str">
        <f aca="false">IF($C142="","",IFERROR(INDEX(設定!$B$21:$B$24,MATCH($H142,設定!$A$21:$A$24,0)),0))</f>
        <v/>
      </c>
      <c r="R142" s="25" t="str">
        <f aca="false">IF($C142="","",IF(設定!$B$45&lt;=0,0,MIN(100,N($I142)/設定!$B$45*100)))</f>
        <v/>
      </c>
      <c r="S142" s="25" t="str">
        <f aca="false">IF($C142="","",IFERROR(INDEX(設定!$B$27:$B$29,MATCH($J142,設定!$A$27:$A$29,0)),0))</f>
        <v/>
      </c>
      <c r="T142" s="25" t="str">
        <f aca="false">IF($C142="","",IFERROR(INDEX(設定!$B$32:$B$35,MATCH($K142,設定!$A$32:$A$35,0)),0))</f>
        <v/>
      </c>
      <c r="U142" s="25" t="str">
        <f aca="false">IF($C142="","",IF(N($L142)&lt;1,0,MIN(100,LOG10($L142+1)/LOG10(設定!$B$44+1)*100)))</f>
        <v/>
      </c>
      <c r="V142" s="25" t="str">
        <f aca="false">IF($C142="","",IF(設定!$B$11=0,0,(O142*設定!$B$4+P142*設定!$B$5+Q142*設定!$B$6+R142*設定!$B$7+S142*設定!$B$8+T142*設定!$B$9+U142*設定!$B$10)/設定!$B$11))</f>
        <v/>
      </c>
      <c r="W142" s="25" t="str">
        <f aca="false">IF($C142="","",IFERROR(INDEX(設定!$B$38:$B$40,MATCH($M142,設定!$A$38:$A$40,0)),1))</f>
        <v/>
      </c>
      <c r="X142" s="26" t="str">
        <f aca="false">IF($C142="","",ROUND(V142*W142,1))</f>
        <v/>
      </c>
      <c r="Y142" s="27" t="str">
        <f aca="false">IF($C142="","",INDEX(設定!$B$49:$B$53,MATCH(X142,設定!$A$49:$A$53,1)))</f>
        <v/>
      </c>
    </row>
    <row r="143" customFormat="false" ht="15" hidden="false" customHeight="false" outlineLevel="0" collapsed="false">
      <c r="A143" s="23" t="n">
        <v>139</v>
      </c>
      <c r="B143" s="24"/>
      <c r="C143" s="9"/>
      <c r="D143" s="9"/>
      <c r="E143" s="15"/>
      <c r="F143" s="9"/>
      <c r="G143" s="17"/>
      <c r="H143" s="9"/>
      <c r="I143" s="9"/>
      <c r="J143" s="9"/>
      <c r="K143" s="9"/>
      <c r="L143" s="17"/>
      <c r="M143" s="9"/>
      <c r="N143" s="9"/>
      <c r="O143" s="25" t="str">
        <f aca="false">IF($C143="","",IFERROR(INDEX(設定!$B$14:$B$18,MATCH($E143,設定!$A$14:$A$18,0)),0))</f>
        <v/>
      </c>
      <c r="P143" s="25" t="str">
        <f aca="false">IF($C143="","",IF(N($G143)&lt;=1,0,MIN(100,LOG10($G143)/LOG10(設定!$B$43)*100)))</f>
        <v/>
      </c>
      <c r="Q143" s="25" t="str">
        <f aca="false">IF($C143="","",IFERROR(INDEX(設定!$B$21:$B$24,MATCH($H143,設定!$A$21:$A$24,0)),0))</f>
        <v/>
      </c>
      <c r="R143" s="25" t="str">
        <f aca="false">IF($C143="","",IF(設定!$B$45&lt;=0,0,MIN(100,N($I143)/設定!$B$45*100)))</f>
        <v/>
      </c>
      <c r="S143" s="25" t="str">
        <f aca="false">IF($C143="","",IFERROR(INDEX(設定!$B$27:$B$29,MATCH($J143,設定!$A$27:$A$29,0)),0))</f>
        <v/>
      </c>
      <c r="T143" s="25" t="str">
        <f aca="false">IF($C143="","",IFERROR(INDEX(設定!$B$32:$B$35,MATCH($K143,設定!$A$32:$A$35,0)),0))</f>
        <v/>
      </c>
      <c r="U143" s="25" t="str">
        <f aca="false">IF($C143="","",IF(N($L143)&lt;1,0,MIN(100,LOG10($L143+1)/LOG10(設定!$B$44+1)*100)))</f>
        <v/>
      </c>
      <c r="V143" s="25" t="str">
        <f aca="false">IF($C143="","",IF(設定!$B$11=0,0,(O143*設定!$B$4+P143*設定!$B$5+Q143*設定!$B$6+R143*設定!$B$7+S143*設定!$B$8+T143*設定!$B$9+U143*設定!$B$10)/設定!$B$11))</f>
        <v/>
      </c>
      <c r="W143" s="25" t="str">
        <f aca="false">IF($C143="","",IFERROR(INDEX(設定!$B$38:$B$40,MATCH($M143,設定!$A$38:$A$40,0)),1))</f>
        <v/>
      </c>
      <c r="X143" s="26" t="str">
        <f aca="false">IF($C143="","",ROUND(V143*W143,1))</f>
        <v/>
      </c>
      <c r="Y143" s="27" t="str">
        <f aca="false">IF($C143="","",INDEX(設定!$B$49:$B$53,MATCH(X143,設定!$A$49:$A$53,1)))</f>
        <v/>
      </c>
    </row>
    <row r="144" customFormat="false" ht="15" hidden="false" customHeight="false" outlineLevel="0" collapsed="false">
      <c r="A144" s="23" t="n">
        <v>140</v>
      </c>
      <c r="B144" s="24"/>
      <c r="C144" s="9"/>
      <c r="D144" s="9"/>
      <c r="E144" s="15"/>
      <c r="F144" s="9"/>
      <c r="G144" s="17"/>
      <c r="H144" s="9"/>
      <c r="I144" s="9"/>
      <c r="J144" s="9"/>
      <c r="K144" s="9"/>
      <c r="L144" s="17"/>
      <c r="M144" s="9"/>
      <c r="N144" s="9"/>
      <c r="O144" s="25" t="str">
        <f aca="false">IF($C144="","",IFERROR(INDEX(設定!$B$14:$B$18,MATCH($E144,設定!$A$14:$A$18,0)),0))</f>
        <v/>
      </c>
      <c r="P144" s="25" t="str">
        <f aca="false">IF($C144="","",IF(N($G144)&lt;=1,0,MIN(100,LOG10($G144)/LOG10(設定!$B$43)*100)))</f>
        <v/>
      </c>
      <c r="Q144" s="25" t="str">
        <f aca="false">IF($C144="","",IFERROR(INDEX(設定!$B$21:$B$24,MATCH($H144,設定!$A$21:$A$24,0)),0))</f>
        <v/>
      </c>
      <c r="R144" s="25" t="str">
        <f aca="false">IF($C144="","",IF(設定!$B$45&lt;=0,0,MIN(100,N($I144)/設定!$B$45*100)))</f>
        <v/>
      </c>
      <c r="S144" s="25" t="str">
        <f aca="false">IF($C144="","",IFERROR(INDEX(設定!$B$27:$B$29,MATCH($J144,設定!$A$27:$A$29,0)),0))</f>
        <v/>
      </c>
      <c r="T144" s="25" t="str">
        <f aca="false">IF($C144="","",IFERROR(INDEX(設定!$B$32:$B$35,MATCH($K144,設定!$A$32:$A$35,0)),0))</f>
        <v/>
      </c>
      <c r="U144" s="25" t="str">
        <f aca="false">IF($C144="","",IF(N($L144)&lt;1,0,MIN(100,LOG10($L144+1)/LOG10(設定!$B$44+1)*100)))</f>
        <v/>
      </c>
      <c r="V144" s="25" t="str">
        <f aca="false">IF($C144="","",IF(設定!$B$11=0,0,(O144*設定!$B$4+P144*設定!$B$5+Q144*設定!$B$6+R144*設定!$B$7+S144*設定!$B$8+T144*設定!$B$9+U144*設定!$B$10)/設定!$B$11))</f>
        <v/>
      </c>
      <c r="W144" s="25" t="str">
        <f aca="false">IF($C144="","",IFERROR(INDEX(設定!$B$38:$B$40,MATCH($M144,設定!$A$38:$A$40,0)),1))</f>
        <v/>
      </c>
      <c r="X144" s="26" t="str">
        <f aca="false">IF($C144="","",ROUND(V144*W144,1))</f>
        <v/>
      </c>
      <c r="Y144" s="27" t="str">
        <f aca="false">IF($C144="","",INDEX(設定!$B$49:$B$53,MATCH(X144,設定!$A$49:$A$53,1)))</f>
        <v/>
      </c>
    </row>
    <row r="145" customFormat="false" ht="15" hidden="false" customHeight="false" outlineLevel="0" collapsed="false">
      <c r="A145" s="23" t="n">
        <v>141</v>
      </c>
      <c r="B145" s="24"/>
      <c r="C145" s="9"/>
      <c r="D145" s="9"/>
      <c r="E145" s="15"/>
      <c r="F145" s="9"/>
      <c r="G145" s="17"/>
      <c r="H145" s="9"/>
      <c r="I145" s="9"/>
      <c r="J145" s="9"/>
      <c r="K145" s="9"/>
      <c r="L145" s="17"/>
      <c r="M145" s="9"/>
      <c r="N145" s="9"/>
      <c r="O145" s="25" t="str">
        <f aca="false">IF($C145="","",IFERROR(INDEX(設定!$B$14:$B$18,MATCH($E145,設定!$A$14:$A$18,0)),0))</f>
        <v/>
      </c>
      <c r="P145" s="25" t="str">
        <f aca="false">IF($C145="","",IF(N($G145)&lt;=1,0,MIN(100,LOG10($G145)/LOG10(設定!$B$43)*100)))</f>
        <v/>
      </c>
      <c r="Q145" s="25" t="str">
        <f aca="false">IF($C145="","",IFERROR(INDEX(設定!$B$21:$B$24,MATCH($H145,設定!$A$21:$A$24,0)),0))</f>
        <v/>
      </c>
      <c r="R145" s="25" t="str">
        <f aca="false">IF($C145="","",IF(設定!$B$45&lt;=0,0,MIN(100,N($I145)/設定!$B$45*100)))</f>
        <v/>
      </c>
      <c r="S145" s="25" t="str">
        <f aca="false">IF($C145="","",IFERROR(INDEX(設定!$B$27:$B$29,MATCH($J145,設定!$A$27:$A$29,0)),0))</f>
        <v/>
      </c>
      <c r="T145" s="25" t="str">
        <f aca="false">IF($C145="","",IFERROR(INDEX(設定!$B$32:$B$35,MATCH($K145,設定!$A$32:$A$35,0)),0))</f>
        <v/>
      </c>
      <c r="U145" s="25" t="str">
        <f aca="false">IF($C145="","",IF(N($L145)&lt;1,0,MIN(100,LOG10($L145+1)/LOG10(設定!$B$44+1)*100)))</f>
        <v/>
      </c>
      <c r="V145" s="25" t="str">
        <f aca="false">IF($C145="","",IF(設定!$B$11=0,0,(O145*設定!$B$4+P145*設定!$B$5+Q145*設定!$B$6+R145*設定!$B$7+S145*設定!$B$8+T145*設定!$B$9+U145*設定!$B$10)/設定!$B$11))</f>
        <v/>
      </c>
      <c r="W145" s="25" t="str">
        <f aca="false">IF($C145="","",IFERROR(INDEX(設定!$B$38:$B$40,MATCH($M145,設定!$A$38:$A$40,0)),1))</f>
        <v/>
      </c>
      <c r="X145" s="26" t="str">
        <f aca="false">IF($C145="","",ROUND(V145*W145,1))</f>
        <v/>
      </c>
      <c r="Y145" s="27" t="str">
        <f aca="false">IF($C145="","",INDEX(設定!$B$49:$B$53,MATCH(X145,設定!$A$49:$A$53,1)))</f>
        <v/>
      </c>
    </row>
    <row r="146" customFormat="false" ht="15" hidden="false" customHeight="false" outlineLevel="0" collapsed="false">
      <c r="A146" s="23" t="n">
        <v>142</v>
      </c>
      <c r="B146" s="24"/>
      <c r="C146" s="9"/>
      <c r="D146" s="9"/>
      <c r="E146" s="15"/>
      <c r="F146" s="9"/>
      <c r="G146" s="17"/>
      <c r="H146" s="9"/>
      <c r="I146" s="9"/>
      <c r="J146" s="9"/>
      <c r="K146" s="9"/>
      <c r="L146" s="17"/>
      <c r="M146" s="9"/>
      <c r="N146" s="9"/>
      <c r="O146" s="25" t="str">
        <f aca="false">IF($C146="","",IFERROR(INDEX(設定!$B$14:$B$18,MATCH($E146,設定!$A$14:$A$18,0)),0))</f>
        <v/>
      </c>
      <c r="P146" s="25" t="str">
        <f aca="false">IF($C146="","",IF(N($G146)&lt;=1,0,MIN(100,LOG10($G146)/LOG10(設定!$B$43)*100)))</f>
        <v/>
      </c>
      <c r="Q146" s="25" t="str">
        <f aca="false">IF($C146="","",IFERROR(INDEX(設定!$B$21:$B$24,MATCH($H146,設定!$A$21:$A$24,0)),0))</f>
        <v/>
      </c>
      <c r="R146" s="25" t="str">
        <f aca="false">IF($C146="","",IF(設定!$B$45&lt;=0,0,MIN(100,N($I146)/設定!$B$45*100)))</f>
        <v/>
      </c>
      <c r="S146" s="25" t="str">
        <f aca="false">IF($C146="","",IFERROR(INDEX(設定!$B$27:$B$29,MATCH($J146,設定!$A$27:$A$29,0)),0))</f>
        <v/>
      </c>
      <c r="T146" s="25" t="str">
        <f aca="false">IF($C146="","",IFERROR(INDEX(設定!$B$32:$B$35,MATCH($K146,設定!$A$32:$A$35,0)),0))</f>
        <v/>
      </c>
      <c r="U146" s="25" t="str">
        <f aca="false">IF($C146="","",IF(N($L146)&lt;1,0,MIN(100,LOG10($L146+1)/LOG10(設定!$B$44+1)*100)))</f>
        <v/>
      </c>
      <c r="V146" s="25" t="str">
        <f aca="false">IF($C146="","",IF(設定!$B$11=0,0,(O146*設定!$B$4+P146*設定!$B$5+Q146*設定!$B$6+R146*設定!$B$7+S146*設定!$B$8+T146*設定!$B$9+U146*設定!$B$10)/設定!$B$11))</f>
        <v/>
      </c>
      <c r="W146" s="25" t="str">
        <f aca="false">IF($C146="","",IFERROR(INDEX(設定!$B$38:$B$40,MATCH($M146,設定!$A$38:$A$40,0)),1))</f>
        <v/>
      </c>
      <c r="X146" s="26" t="str">
        <f aca="false">IF($C146="","",ROUND(V146*W146,1))</f>
        <v/>
      </c>
      <c r="Y146" s="27" t="str">
        <f aca="false">IF($C146="","",INDEX(設定!$B$49:$B$53,MATCH(X146,設定!$A$49:$A$53,1)))</f>
        <v/>
      </c>
    </row>
    <row r="147" customFormat="false" ht="15" hidden="false" customHeight="false" outlineLevel="0" collapsed="false">
      <c r="A147" s="23" t="n">
        <v>143</v>
      </c>
      <c r="B147" s="24"/>
      <c r="C147" s="9"/>
      <c r="D147" s="9"/>
      <c r="E147" s="15"/>
      <c r="F147" s="9"/>
      <c r="G147" s="17"/>
      <c r="H147" s="9"/>
      <c r="I147" s="9"/>
      <c r="J147" s="9"/>
      <c r="K147" s="9"/>
      <c r="L147" s="17"/>
      <c r="M147" s="9"/>
      <c r="N147" s="9"/>
      <c r="O147" s="25" t="str">
        <f aca="false">IF($C147="","",IFERROR(INDEX(設定!$B$14:$B$18,MATCH($E147,設定!$A$14:$A$18,0)),0))</f>
        <v/>
      </c>
      <c r="P147" s="25" t="str">
        <f aca="false">IF($C147="","",IF(N($G147)&lt;=1,0,MIN(100,LOG10($G147)/LOG10(設定!$B$43)*100)))</f>
        <v/>
      </c>
      <c r="Q147" s="25" t="str">
        <f aca="false">IF($C147="","",IFERROR(INDEX(設定!$B$21:$B$24,MATCH($H147,設定!$A$21:$A$24,0)),0))</f>
        <v/>
      </c>
      <c r="R147" s="25" t="str">
        <f aca="false">IF($C147="","",IF(設定!$B$45&lt;=0,0,MIN(100,N($I147)/設定!$B$45*100)))</f>
        <v/>
      </c>
      <c r="S147" s="25" t="str">
        <f aca="false">IF($C147="","",IFERROR(INDEX(設定!$B$27:$B$29,MATCH($J147,設定!$A$27:$A$29,0)),0))</f>
        <v/>
      </c>
      <c r="T147" s="25" t="str">
        <f aca="false">IF($C147="","",IFERROR(INDEX(設定!$B$32:$B$35,MATCH($K147,設定!$A$32:$A$35,0)),0))</f>
        <v/>
      </c>
      <c r="U147" s="25" t="str">
        <f aca="false">IF($C147="","",IF(N($L147)&lt;1,0,MIN(100,LOG10($L147+1)/LOG10(設定!$B$44+1)*100)))</f>
        <v/>
      </c>
      <c r="V147" s="25" t="str">
        <f aca="false">IF($C147="","",IF(設定!$B$11=0,0,(O147*設定!$B$4+P147*設定!$B$5+Q147*設定!$B$6+R147*設定!$B$7+S147*設定!$B$8+T147*設定!$B$9+U147*設定!$B$10)/設定!$B$11))</f>
        <v/>
      </c>
      <c r="W147" s="25" t="str">
        <f aca="false">IF($C147="","",IFERROR(INDEX(設定!$B$38:$B$40,MATCH($M147,設定!$A$38:$A$40,0)),1))</f>
        <v/>
      </c>
      <c r="X147" s="26" t="str">
        <f aca="false">IF($C147="","",ROUND(V147*W147,1))</f>
        <v/>
      </c>
      <c r="Y147" s="27" t="str">
        <f aca="false">IF($C147="","",INDEX(設定!$B$49:$B$53,MATCH(X147,設定!$A$49:$A$53,1)))</f>
        <v/>
      </c>
    </row>
    <row r="148" customFormat="false" ht="15" hidden="false" customHeight="false" outlineLevel="0" collapsed="false">
      <c r="A148" s="23" t="n">
        <v>144</v>
      </c>
      <c r="B148" s="24"/>
      <c r="C148" s="9"/>
      <c r="D148" s="9"/>
      <c r="E148" s="15"/>
      <c r="F148" s="9"/>
      <c r="G148" s="17"/>
      <c r="H148" s="9"/>
      <c r="I148" s="9"/>
      <c r="J148" s="9"/>
      <c r="K148" s="9"/>
      <c r="L148" s="17"/>
      <c r="M148" s="9"/>
      <c r="N148" s="9"/>
      <c r="O148" s="25" t="str">
        <f aca="false">IF($C148="","",IFERROR(INDEX(設定!$B$14:$B$18,MATCH($E148,設定!$A$14:$A$18,0)),0))</f>
        <v/>
      </c>
      <c r="P148" s="25" t="str">
        <f aca="false">IF($C148="","",IF(N($G148)&lt;=1,0,MIN(100,LOG10($G148)/LOG10(設定!$B$43)*100)))</f>
        <v/>
      </c>
      <c r="Q148" s="25" t="str">
        <f aca="false">IF($C148="","",IFERROR(INDEX(設定!$B$21:$B$24,MATCH($H148,設定!$A$21:$A$24,0)),0))</f>
        <v/>
      </c>
      <c r="R148" s="25" t="str">
        <f aca="false">IF($C148="","",IF(設定!$B$45&lt;=0,0,MIN(100,N($I148)/設定!$B$45*100)))</f>
        <v/>
      </c>
      <c r="S148" s="25" t="str">
        <f aca="false">IF($C148="","",IFERROR(INDEX(設定!$B$27:$B$29,MATCH($J148,設定!$A$27:$A$29,0)),0))</f>
        <v/>
      </c>
      <c r="T148" s="25" t="str">
        <f aca="false">IF($C148="","",IFERROR(INDEX(設定!$B$32:$B$35,MATCH($K148,設定!$A$32:$A$35,0)),0))</f>
        <v/>
      </c>
      <c r="U148" s="25" t="str">
        <f aca="false">IF($C148="","",IF(N($L148)&lt;1,0,MIN(100,LOG10($L148+1)/LOG10(設定!$B$44+1)*100)))</f>
        <v/>
      </c>
      <c r="V148" s="25" t="str">
        <f aca="false">IF($C148="","",IF(設定!$B$11=0,0,(O148*設定!$B$4+P148*設定!$B$5+Q148*設定!$B$6+R148*設定!$B$7+S148*設定!$B$8+T148*設定!$B$9+U148*設定!$B$10)/設定!$B$11))</f>
        <v/>
      </c>
      <c r="W148" s="25" t="str">
        <f aca="false">IF($C148="","",IFERROR(INDEX(設定!$B$38:$B$40,MATCH($M148,設定!$A$38:$A$40,0)),1))</f>
        <v/>
      </c>
      <c r="X148" s="26" t="str">
        <f aca="false">IF($C148="","",ROUND(V148*W148,1))</f>
        <v/>
      </c>
      <c r="Y148" s="27" t="str">
        <f aca="false">IF($C148="","",INDEX(設定!$B$49:$B$53,MATCH(X148,設定!$A$49:$A$53,1)))</f>
        <v/>
      </c>
    </row>
    <row r="149" customFormat="false" ht="15" hidden="false" customHeight="false" outlineLevel="0" collapsed="false">
      <c r="A149" s="23" t="n">
        <v>145</v>
      </c>
      <c r="B149" s="24"/>
      <c r="C149" s="9"/>
      <c r="D149" s="9"/>
      <c r="E149" s="15"/>
      <c r="F149" s="9"/>
      <c r="G149" s="17"/>
      <c r="H149" s="9"/>
      <c r="I149" s="9"/>
      <c r="J149" s="9"/>
      <c r="K149" s="9"/>
      <c r="L149" s="17"/>
      <c r="M149" s="9"/>
      <c r="N149" s="9"/>
      <c r="O149" s="25" t="str">
        <f aca="false">IF($C149="","",IFERROR(INDEX(設定!$B$14:$B$18,MATCH($E149,設定!$A$14:$A$18,0)),0))</f>
        <v/>
      </c>
      <c r="P149" s="25" t="str">
        <f aca="false">IF($C149="","",IF(N($G149)&lt;=1,0,MIN(100,LOG10($G149)/LOG10(設定!$B$43)*100)))</f>
        <v/>
      </c>
      <c r="Q149" s="25" t="str">
        <f aca="false">IF($C149="","",IFERROR(INDEX(設定!$B$21:$B$24,MATCH($H149,設定!$A$21:$A$24,0)),0))</f>
        <v/>
      </c>
      <c r="R149" s="25" t="str">
        <f aca="false">IF($C149="","",IF(設定!$B$45&lt;=0,0,MIN(100,N($I149)/設定!$B$45*100)))</f>
        <v/>
      </c>
      <c r="S149" s="25" t="str">
        <f aca="false">IF($C149="","",IFERROR(INDEX(設定!$B$27:$B$29,MATCH($J149,設定!$A$27:$A$29,0)),0))</f>
        <v/>
      </c>
      <c r="T149" s="25" t="str">
        <f aca="false">IF($C149="","",IFERROR(INDEX(設定!$B$32:$B$35,MATCH($K149,設定!$A$32:$A$35,0)),0))</f>
        <v/>
      </c>
      <c r="U149" s="25" t="str">
        <f aca="false">IF($C149="","",IF(N($L149)&lt;1,0,MIN(100,LOG10($L149+1)/LOG10(設定!$B$44+1)*100)))</f>
        <v/>
      </c>
      <c r="V149" s="25" t="str">
        <f aca="false">IF($C149="","",IF(設定!$B$11=0,0,(O149*設定!$B$4+P149*設定!$B$5+Q149*設定!$B$6+R149*設定!$B$7+S149*設定!$B$8+T149*設定!$B$9+U149*設定!$B$10)/設定!$B$11))</f>
        <v/>
      </c>
      <c r="W149" s="25" t="str">
        <f aca="false">IF($C149="","",IFERROR(INDEX(設定!$B$38:$B$40,MATCH($M149,設定!$A$38:$A$40,0)),1))</f>
        <v/>
      </c>
      <c r="X149" s="26" t="str">
        <f aca="false">IF($C149="","",ROUND(V149*W149,1))</f>
        <v/>
      </c>
      <c r="Y149" s="27" t="str">
        <f aca="false">IF($C149="","",INDEX(設定!$B$49:$B$53,MATCH(X149,設定!$A$49:$A$53,1)))</f>
        <v/>
      </c>
    </row>
    <row r="150" customFormat="false" ht="15" hidden="false" customHeight="false" outlineLevel="0" collapsed="false">
      <c r="A150" s="23" t="n">
        <v>146</v>
      </c>
      <c r="B150" s="24"/>
      <c r="C150" s="9"/>
      <c r="D150" s="9"/>
      <c r="E150" s="15"/>
      <c r="F150" s="9"/>
      <c r="G150" s="17"/>
      <c r="H150" s="9"/>
      <c r="I150" s="9"/>
      <c r="J150" s="9"/>
      <c r="K150" s="9"/>
      <c r="L150" s="17"/>
      <c r="M150" s="9"/>
      <c r="N150" s="9"/>
      <c r="O150" s="25" t="str">
        <f aca="false">IF($C150="","",IFERROR(INDEX(設定!$B$14:$B$18,MATCH($E150,設定!$A$14:$A$18,0)),0))</f>
        <v/>
      </c>
      <c r="P150" s="25" t="str">
        <f aca="false">IF($C150="","",IF(N($G150)&lt;=1,0,MIN(100,LOG10($G150)/LOG10(設定!$B$43)*100)))</f>
        <v/>
      </c>
      <c r="Q150" s="25" t="str">
        <f aca="false">IF($C150="","",IFERROR(INDEX(設定!$B$21:$B$24,MATCH($H150,設定!$A$21:$A$24,0)),0))</f>
        <v/>
      </c>
      <c r="R150" s="25" t="str">
        <f aca="false">IF($C150="","",IF(設定!$B$45&lt;=0,0,MIN(100,N($I150)/設定!$B$45*100)))</f>
        <v/>
      </c>
      <c r="S150" s="25" t="str">
        <f aca="false">IF($C150="","",IFERROR(INDEX(設定!$B$27:$B$29,MATCH($J150,設定!$A$27:$A$29,0)),0))</f>
        <v/>
      </c>
      <c r="T150" s="25" t="str">
        <f aca="false">IF($C150="","",IFERROR(INDEX(設定!$B$32:$B$35,MATCH($K150,設定!$A$32:$A$35,0)),0))</f>
        <v/>
      </c>
      <c r="U150" s="25" t="str">
        <f aca="false">IF($C150="","",IF(N($L150)&lt;1,0,MIN(100,LOG10($L150+1)/LOG10(設定!$B$44+1)*100)))</f>
        <v/>
      </c>
      <c r="V150" s="25" t="str">
        <f aca="false">IF($C150="","",IF(設定!$B$11=0,0,(O150*設定!$B$4+P150*設定!$B$5+Q150*設定!$B$6+R150*設定!$B$7+S150*設定!$B$8+T150*設定!$B$9+U150*設定!$B$10)/設定!$B$11))</f>
        <v/>
      </c>
      <c r="W150" s="25" t="str">
        <f aca="false">IF($C150="","",IFERROR(INDEX(設定!$B$38:$B$40,MATCH($M150,設定!$A$38:$A$40,0)),1))</f>
        <v/>
      </c>
      <c r="X150" s="26" t="str">
        <f aca="false">IF($C150="","",ROUND(V150*W150,1))</f>
        <v/>
      </c>
      <c r="Y150" s="27" t="str">
        <f aca="false">IF($C150="","",INDEX(設定!$B$49:$B$53,MATCH(X150,設定!$A$49:$A$53,1)))</f>
        <v/>
      </c>
    </row>
    <row r="151" customFormat="false" ht="15" hidden="false" customHeight="false" outlineLevel="0" collapsed="false">
      <c r="A151" s="23" t="n">
        <v>147</v>
      </c>
      <c r="B151" s="24"/>
      <c r="C151" s="9"/>
      <c r="D151" s="9"/>
      <c r="E151" s="15"/>
      <c r="F151" s="9"/>
      <c r="G151" s="17"/>
      <c r="H151" s="9"/>
      <c r="I151" s="9"/>
      <c r="J151" s="9"/>
      <c r="K151" s="9"/>
      <c r="L151" s="17"/>
      <c r="M151" s="9"/>
      <c r="N151" s="9"/>
      <c r="O151" s="25" t="str">
        <f aca="false">IF($C151="","",IFERROR(INDEX(設定!$B$14:$B$18,MATCH($E151,設定!$A$14:$A$18,0)),0))</f>
        <v/>
      </c>
      <c r="P151" s="25" t="str">
        <f aca="false">IF($C151="","",IF(N($G151)&lt;=1,0,MIN(100,LOG10($G151)/LOG10(設定!$B$43)*100)))</f>
        <v/>
      </c>
      <c r="Q151" s="25" t="str">
        <f aca="false">IF($C151="","",IFERROR(INDEX(設定!$B$21:$B$24,MATCH($H151,設定!$A$21:$A$24,0)),0))</f>
        <v/>
      </c>
      <c r="R151" s="25" t="str">
        <f aca="false">IF($C151="","",IF(設定!$B$45&lt;=0,0,MIN(100,N($I151)/設定!$B$45*100)))</f>
        <v/>
      </c>
      <c r="S151" s="25" t="str">
        <f aca="false">IF($C151="","",IFERROR(INDEX(設定!$B$27:$B$29,MATCH($J151,設定!$A$27:$A$29,0)),0))</f>
        <v/>
      </c>
      <c r="T151" s="25" t="str">
        <f aca="false">IF($C151="","",IFERROR(INDEX(設定!$B$32:$B$35,MATCH($K151,設定!$A$32:$A$35,0)),0))</f>
        <v/>
      </c>
      <c r="U151" s="25" t="str">
        <f aca="false">IF($C151="","",IF(N($L151)&lt;1,0,MIN(100,LOG10($L151+1)/LOG10(設定!$B$44+1)*100)))</f>
        <v/>
      </c>
      <c r="V151" s="25" t="str">
        <f aca="false">IF($C151="","",IF(設定!$B$11=0,0,(O151*設定!$B$4+P151*設定!$B$5+Q151*設定!$B$6+R151*設定!$B$7+S151*設定!$B$8+T151*設定!$B$9+U151*設定!$B$10)/設定!$B$11))</f>
        <v/>
      </c>
      <c r="W151" s="25" t="str">
        <f aca="false">IF($C151="","",IFERROR(INDEX(設定!$B$38:$B$40,MATCH($M151,設定!$A$38:$A$40,0)),1))</f>
        <v/>
      </c>
      <c r="X151" s="26" t="str">
        <f aca="false">IF($C151="","",ROUND(V151*W151,1))</f>
        <v/>
      </c>
      <c r="Y151" s="27" t="str">
        <f aca="false">IF($C151="","",INDEX(設定!$B$49:$B$53,MATCH(X151,設定!$A$49:$A$53,1)))</f>
        <v/>
      </c>
    </row>
    <row r="152" customFormat="false" ht="15" hidden="false" customHeight="false" outlineLevel="0" collapsed="false">
      <c r="A152" s="23" t="n">
        <v>148</v>
      </c>
      <c r="B152" s="24"/>
      <c r="C152" s="9"/>
      <c r="D152" s="9"/>
      <c r="E152" s="15"/>
      <c r="F152" s="9"/>
      <c r="G152" s="17"/>
      <c r="H152" s="9"/>
      <c r="I152" s="9"/>
      <c r="J152" s="9"/>
      <c r="K152" s="9"/>
      <c r="L152" s="17"/>
      <c r="M152" s="9"/>
      <c r="N152" s="9"/>
      <c r="O152" s="25" t="str">
        <f aca="false">IF($C152="","",IFERROR(INDEX(設定!$B$14:$B$18,MATCH($E152,設定!$A$14:$A$18,0)),0))</f>
        <v/>
      </c>
      <c r="P152" s="25" t="str">
        <f aca="false">IF($C152="","",IF(N($G152)&lt;=1,0,MIN(100,LOG10($G152)/LOG10(設定!$B$43)*100)))</f>
        <v/>
      </c>
      <c r="Q152" s="25" t="str">
        <f aca="false">IF($C152="","",IFERROR(INDEX(設定!$B$21:$B$24,MATCH($H152,設定!$A$21:$A$24,0)),0))</f>
        <v/>
      </c>
      <c r="R152" s="25" t="str">
        <f aca="false">IF($C152="","",IF(設定!$B$45&lt;=0,0,MIN(100,N($I152)/設定!$B$45*100)))</f>
        <v/>
      </c>
      <c r="S152" s="25" t="str">
        <f aca="false">IF($C152="","",IFERROR(INDEX(設定!$B$27:$B$29,MATCH($J152,設定!$A$27:$A$29,0)),0))</f>
        <v/>
      </c>
      <c r="T152" s="25" t="str">
        <f aca="false">IF($C152="","",IFERROR(INDEX(設定!$B$32:$B$35,MATCH($K152,設定!$A$32:$A$35,0)),0))</f>
        <v/>
      </c>
      <c r="U152" s="25" t="str">
        <f aca="false">IF($C152="","",IF(N($L152)&lt;1,0,MIN(100,LOG10($L152+1)/LOG10(設定!$B$44+1)*100)))</f>
        <v/>
      </c>
      <c r="V152" s="25" t="str">
        <f aca="false">IF($C152="","",IF(設定!$B$11=0,0,(O152*設定!$B$4+P152*設定!$B$5+Q152*設定!$B$6+R152*設定!$B$7+S152*設定!$B$8+T152*設定!$B$9+U152*設定!$B$10)/設定!$B$11))</f>
        <v/>
      </c>
      <c r="W152" s="25" t="str">
        <f aca="false">IF($C152="","",IFERROR(INDEX(設定!$B$38:$B$40,MATCH($M152,設定!$A$38:$A$40,0)),1))</f>
        <v/>
      </c>
      <c r="X152" s="26" t="str">
        <f aca="false">IF($C152="","",ROUND(V152*W152,1))</f>
        <v/>
      </c>
      <c r="Y152" s="27" t="str">
        <f aca="false">IF($C152="","",INDEX(設定!$B$49:$B$53,MATCH(X152,設定!$A$49:$A$53,1)))</f>
        <v/>
      </c>
    </row>
    <row r="153" customFormat="false" ht="15" hidden="false" customHeight="false" outlineLevel="0" collapsed="false">
      <c r="A153" s="23" t="n">
        <v>149</v>
      </c>
      <c r="B153" s="24"/>
      <c r="C153" s="9"/>
      <c r="D153" s="9"/>
      <c r="E153" s="15"/>
      <c r="F153" s="9"/>
      <c r="G153" s="17"/>
      <c r="H153" s="9"/>
      <c r="I153" s="9"/>
      <c r="J153" s="9"/>
      <c r="K153" s="9"/>
      <c r="L153" s="17"/>
      <c r="M153" s="9"/>
      <c r="N153" s="9"/>
      <c r="O153" s="25" t="str">
        <f aca="false">IF($C153="","",IFERROR(INDEX(設定!$B$14:$B$18,MATCH($E153,設定!$A$14:$A$18,0)),0))</f>
        <v/>
      </c>
      <c r="P153" s="25" t="str">
        <f aca="false">IF($C153="","",IF(N($G153)&lt;=1,0,MIN(100,LOG10($G153)/LOG10(設定!$B$43)*100)))</f>
        <v/>
      </c>
      <c r="Q153" s="25" t="str">
        <f aca="false">IF($C153="","",IFERROR(INDEX(設定!$B$21:$B$24,MATCH($H153,設定!$A$21:$A$24,0)),0))</f>
        <v/>
      </c>
      <c r="R153" s="25" t="str">
        <f aca="false">IF($C153="","",IF(設定!$B$45&lt;=0,0,MIN(100,N($I153)/設定!$B$45*100)))</f>
        <v/>
      </c>
      <c r="S153" s="25" t="str">
        <f aca="false">IF($C153="","",IFERROR(INDEX(設定!$B$27:$B$29,MATCH($J153,設定!$A$27:$A$29,0)),0))</f>
        <v/>
      </c>
      <c r="T153" s="25" t="str">
        <f aca="false">IF($C153="","",IFERROR(INDEX(設定!$B$32:$B$35,MATCH($K153,設定!$A$32:$A$35,0)),0))</f>
        <v/>
      </c>
      <c r="U153" s="25" t="str">
        <f aca="false">IF($C153="","",IF(N($L153)&lt;1,0,MIN(100,LOG10($L153+1)/LOG10(設定!$B$44+1)*100)))</f>
        <v/>
      </c>
      <c r="V153" s="25" t="str">
        <f aca="false">IF($C153="","",IF(設定!$B$11=0,0,(O153*設定!$B$4+P153*設定!$B$5+Q153*設定!$B$6+R153*設定!$B$7+S153*設定!$B$8+T153*設定!$B$9+U153*設定!$B$10)/設定!$B$11))</f>
        <v/>
      </c>
      <c r="W153" s="25" t="str">
        <f aca="false">IF($C153="","",IFERROR(INDEX(設定!$B$38:$B$40,MATCH($M153,設定!$A$38:$A$40,0)),1))</f>
        <v/>
      </c>
      <c r="X153" s="26" t="str">
        <f aca="false">IF($C153="","",ROUND(V153*W153,1))</f>
        <v/>
      </c>
      <c r="Y153" s="27" t="str">
        <f aca="false">IF($C153="","",INDEX(設定!$B$49:$B$53,MATCH(X153,設定!$A$49:$A$53,1)))</f>
        <v/>
      </c>
    </row>
    <row r="154" customFormat="false" ht="15" hidden="false" customHeight="false" outlineLevel="0" collapsed="false">
      <c r="A154" s="23" t="n">
        <v>150</v>
      </c>
      <c r="B154" s="24"/>
      <c r="C154" s="9"/>
      <c r="D154" s="9"/>
      <c r="E154" s="15"/>
      <c r="F154" s="9"/>
      <c r="G154" s="17"/>
      <c r="H154" s="9"/>
      <c r="I154" s="9"/>
      <c r="J154" s="9"/>
      <c r="K154" s="9"/>
      <c r="L154" s="17"/>
      <c r="M154" s="9"/>
      <c r="N154" s="9"/>
      <c r="O154" s="25" t="str">
        <f aca="false">IF($C154="","",IFERROR(INDEX(設定!$B$14:$B$18,MATCH($E154,設定!$A$14:$A$18,0)),0))</f>
        <v/>
      </c>
      <c r="P154" s="25" t="str">
        <f aca="false">IF($C154="","",IF(N($G154)&lt;=1,0,MIN(100,LOG10($G154)/LOG10(設定!$B$43)*100)))</f>
        <v/>
      </c>
      <c r="Q154" s="25" t="str">
        <f aca="false">IF($C154="","",IFERROR(INDEX(設定!$B$21:$B$24,MATCH($H154,設定!$A$21:$A$24,0)),0))</f>
        <v/>
      </c>
      <c r="R154" s="25" t="str">
        <f aca="false">IF($C154="","",IF(設定!$B$45&lt;=0,0,MIN(100,N($I154)/設定!$B$45*100)))</f>
        <v/>
      </c>
      <c r="S154" s="25" t="str">
        <f aca="false">IF($C154="","",IFERROR(INDEX(設定!$B$27:$B$29,MATCH($J154,設定!$A$27:$A$29,0)),0))</f>
        <v/>
      </c>
      <c r="T154" s="25" t="str">
        <f aca="false">IF($C154="","",IFERROR(INDEX(設定!$B$32:$B$35,MATCH($K154,設定!$A$32:$A$35,0)),0))</f>
        <v/>
      </c>
      <c r="U154" s="25" t="str">
        <f aca="false">IF($C154="","",IF(N($L154)&lt;1,0,MIN(100,LOG10($L154+1)/LOG10(設定!$B$44+1)*100)))</f>
        <v/>
      </c>
      <c r="V154" s="25" t="str">
        <f aca="false">IF($C154="","",IF(設定!$B$11=0,0,(O154*設定!$B$4+P154*設定!$B$5+Q154*設定!$B$6+R154*設定!$B$7+S154*設定!$B$8+T154*設定!$B$9+U154*設定!$B$10)/設定!$B$11))</f>
        <v/>
      </c>
      <c r="W154" s="25" t="str">
        <f aca="false">IF($C154="","",IFERROR(INDEX(設定!$B$38:$B$40,MATCH($M154,設定!$A$38:$A$40,0)),1))</f>
        <v/>
      </c>
      <c r="X154" s="26" t="str">
        <f aca="false">IF($C154="","",ROUND(V154*W154,1))</f>
        <v/>
      </c>
      <c r="Y154" s="27" t="str">
        <f aca="false">IF($C154="","",INDEX(設定!$B$49:$B$53,MATCH(X154,設定!$A$49:$A$53,1)))</f>
        <v/>
      </c>
    </row>
    <row r="155" customFormat="false" ht="15" hidden="false" customHeight="false" outlineLevel="0" collapsed="false">
      <c r="A155" s="23" t="n">
        <v>151</v>
      </c>
      <c r="B155" s="24"/>
      <c r="C155" s="9"/>
      <c r="D155" s="9"/>
      <c r="E155" s="15"/>
      <c r="F155" s="9"/>
      <c r="G155" s="17"/>
      <c r="H155" s="9"/>
      <c r="I155" s="9"/>
      <c r="J155" s="9"/>
      <c r="K155" s="9"/>
      <c r="L155" s="17"/>
      <c r="M155" s="9"/>
      <c r="N155" s="9"/>
      <c r="O155" s="25" t="str">
        <f aca="false">IF($C155="","",IFERROR(INDEX(設定!$B$14:$B$18,MATCH($E155,設定!$A$14:$A$18,0)),0))</f>
        <v/>
      </c>
      <c r="P155" s="25" t="str">
        <f aca="false">IF($C155="","",IF(N($G155)&lt;=1,0,MIN(100,LOG10($G155)/LOG10(設定!$B$43)*100)))</f>
        <v/>
      </c>
      <c r="Q155" s="25" t="str">
        <f aca="false">IF($C155="","",IFERROR(INDEX(設定!$B$21:$B$24,MATCH($H155,設定!$A$21:$A$24,0)),0))</f>
        <v/>
      </c>
      <c r="R155" s="25" t="str">
        <f aca="false">IF($C155="","",IF(設定!$B$45&lt;=0,0,MIN(100,N($I155)/設定!$B$45*100)))</f>
        <v/>
      </c>
      <c r="S155" s="25" t="str">
        <f aca="false">IF($C155="","",IFERROR(INDEX(設定!$B$27:$B$29,MATCH($J155,設定!$A$27:$A$29,0)),0))</f>
        <v/>
      </c>
      <c r="T155" s="25" t="str">
        <f aca="false">IF($C155="","",IFERROR(INDEX(設定!$B$32:$B$35,MATCH($K155,設定!$A$32:$A$35,0)),0))</f>
        <v/>
      </c>
      <c r="U155" s="25" t="str">
        <f aca="false">IF($C155="","",IF(N($L155)&lt;1,0,MIN(100,LOG10($L155+1)/LOG10(設定!$B$44+1)*100)))</f>
        <v/>
      </c>
      <c r="V155" s="25" t="str">
        <f aca="false">IF($C155="","",IF(設定!$B$11=0,0,(O155*設定!$B$4+P155*設定!$B$5+Q155*設定!$B$6+R155*設定!$B$7+S155*設定!$B$8+T155*設定!$B$9+U155*設定!$B$10)/設定!$B$11))</f>
        <v/>
      </c>
      <c r="W155" s="25" t="str">
        <f aca="false">IF($C155="","",IFERROR(INDEX(設定!$B$38:$B$40,MATCH($M155,設定!$A$38:$A$40,0)),1))</f>
        <v/>
      </c>
      <c r="X155" s="26" t="str">
        <f aca="false">IF($C155="","",ROUND(V155*W155,1))</f>
        <v/>
      </c>
      <c r="Y155" s="27" t="str">
        <f aca="false">IF($C155="","",INDEX(設定!$B$49:$B$53,MATCH(X155,設定!$A$49:$A$53,1)))</f>
        <v/>
      </c>
    </row>
    <row r="156" customFormat="false" ht="15" hidden="false" customHeight="false" outlineLevel="0" collapsed="false">
      <c r="A156" s="23" t="n">
        <v>152</v>
      </c>
      <c r="B156" s="24"/>
      <c r="C156" s="9"/>
      <c r="D156" s="9"/>
      <c r="E156" s="15"/>
      <c r="F156" s="9"/>
      <c r="G156" s="17"/>
      <c r="H156" s="9"/>
      <c r="I156" s="9"/>
      <c r="J156" s="9"/>
      <c r="K156" s="9"/>
      <c r="L156" s="17"/>
      <c r="M156" s="9"/>
      <c r="N156" s="9"/>
      <c r="O156" s="25" t="str">
        <f aca="false">IF($C156="","",IFERROR(INDEX(設定!$B$14:$B$18,MATCH($E156,設定!$A$14:$A$18,0)),0))</f>
        <v/>
      </c>
      <c r="P156" s="25" t="str">
        <f aca="false">IF($C156="","",IF(N($G156)&lt;=1,0,MIN(100,LOG10($G156)/LOG10(設定!$B$43)*100)))</f>
        <v/>
      </c>
      <c r="Q156" s="25" t="str">
        <f aca="false">IF($C156="","",IFERROR(INDEX(設定!$B$21:$B$24,MATCH($H156,設定!$A$21:$A$24,0)),0))</f>
        <v/>
      </c>
      <c r="R156" s="25" t="str">
        <f aca="false">IF($C156="","",IF(設定!$B$45&lt;=0,0,MIN(100,N($I156)/設定!$B$45*100)))</f>
        <v/>
      </c>
      <c r="S156" s="25" t="str">
        <f aca="false">IF($C156="","",IFERROR(INDEX(設定!$B$27:$B$29,MATCH($J156,設定!$A$27:$A$29,0)),0))</f>
        <v/>
      </c>
      <c r="T156" s="25" t="str">
        <f aca="false">IF($C156="","",IFERROR(INDEX(設定!$B$32:$B$35,MATCH($K156,設定!$A$32:$A$35,0)),0))</f>
        <v/>
      </c>
      <c r="U156" s="25" t="str">
        <f aca="false">IF($C156="","",IF(N($L156)&lt;1,0,MIN(100,LOG10($L156+1)/LOG10(設定!$B$44+1)*100)))</f>
        <v/>
      </c>
      <c r="V156" s="25" t="str">
        <f aca="false">IF($C156="","",IF(設定!$B$11=0,0,(O156*設定!$B$4+P156*設定!$B$5+Q156*設定!$B$6+R156*設定!$B$7+S156*設定!$B$8+T156*設定!$B$9+U156*設定!$B$10)/設定!$B$11))</f>
        <v/>
      </c>
      <c r="W156" s="25" t="str">
        <f aca="false">IF($C156="","",IFERROR(INDEX(設定!$B$38:$B$40,MATCH($M156,設定!$A$38:$A$40,0)),1))</f>
        <v/>
      </c>
      <c r="X156" s="26" t="str">
        <f aca="false">IF($C156="","",ROUND(V156*W156,1))</f>
        <v/>
      </c>
      <c r="Y156" s="27" t="str">
        <f aca="false">IF($C156="","",INDEX(設定!$B$49:$B$53,MATCH(X156,設定!$A$49:$A$53,1)))</f>
        <v/>
      </c>
    </row>
    <row r="157" customFormat="false" ht="15" hidden="false" customHeight="false" outlineLevel="0" collapsed="false">
      <c r="A157" s="23" t="n">
        <v>153</v>
      </c>
      <c r="B157" s="24"/>
      <c r="C157" s="9"/>
      <c r="D157" s="9"/>
      <c r="E157" s="15"/>
      <c r="F157" s="9"/>
      <c r="G157" s="17"/>
      <c r="H157" s="9"/>
      <c r="I157" s="9"/>
      <c r="J157" s="9"/>
      <c r="K157" s="9"/>
      <c r="L157" s="17"/>
      <c r="M157" s="9"/>
      <c r="N157" s="9"/>
      <c r="O157" s="25" t="str">
        <f aca="false">IF($C157="","",IFERROR(INDEX(設定!$B$14:$B$18,MATCH($E157,設定!$A$14:$A$18,0)),0))</f>
        <v/>
      </c>
      <c r="P157" s="25" t="str">
        <f aca="false">IF($C157="","",IF(N($G157)&lt;=1,0,MIN(100,LOG10($G157)/LOG10(設定!$B$43)*100)))</f>
        <v/>
      </c>
      <c r="Q157" s="25" t="str">
        <f aca="false">IF($C157="","",IFERROR(INDEX(設定!$B$21:$B$24,MATCH($H157,設定!$A$21:$A$24,0)),0))</f>
        <v/>
      </c>
      <c r="R157" s="25" t="str">
        <f aca="false">IF($C157="","",IF(設定!$B$45&lt;=0,0,MIN(100,N($I157)/設定!$B$45*100)))</f>
        <v/>
      </c>
      <c r="S157" s="25" t="str">
        <f aca="false">IF($C157="","",IFERROR(INDEX(設定!$B$27:$B$29,MATCH($J157,設定!$A$27:$A$29,0)),0))</f>
        <v/>
      </c>
      <c r="T157" s="25" t="str">
        <f aca="false">IF($C157="","",IFERROR(INDEX(設定!$B$32:$B$35,MATCH($K157,設定!$A$32:$A$35,0)),0))</f>
        <v/>
      </c>
      <c r="U157" s="25" t="str">
        <f aca="false">IF($C157="","",IF(N($L157)&lt;1,0,MIN(100,LOG10($L157+1)/LOG10(設定!$B$44+1)*100)))</f>
        <v/>
      </c>
      <c r="V157" s="25" t="str">
        <f aca="false">IF($C157="","",IF(設定!$B$11=0,0,(O157*設定!$B$4+P157*設定!$B$5+Q157*設定!$B$6+R157*設定!$B$7+S157*設定!$B$8+T157*設定!$B$9+U157*設定!$B$10)/設定!$B$11))</f>
        <v/>
      </c>
      <c r="W157" s="25" t="str">
        <f aca="false">IF($C157="","",IFERROR(INDEX(設定!$B$38:$B$40,MATCH($M157,設定!$A$38:$A$40,0)),1))</f>
        <v/>
      </c>
      <c r="X157" s="26" t="str">
        <f aca="false">IF($C157="","",ROUND(V157*W157,1))</f>
        <v/>
      </c>
      <c r="Y157" s="27" t="str">
        <f aca="false">IF($C157="","",INDEX(設定!$B$49:$B$53,MATCH(X157,設定!$A$49:$A$53,1)))</f>
        <v/>
      </c>
    </row>
    <row r="158" customFormat="false" ht="15" hidden="false" customHeight="false" outlineLevel="0" collapsed="false">
      <c r="A158" s="23" t="n">
        <v>154</v>
      </c>
      <c r="B158" s="24"/>
      <c r="C158" s="9"/>
      <c r="D158" s="9"/>
      <c r="E158" s="15"/>
      <c r="F158" s="9"/>
      <c r="G158" s="17"/>
      <c r="H158" s="9"/>
      <c r="I158" s="9"/>
      <c r="J158" s="9"/>
      <c r="K158" s="9"/>
      <c r="L158" s="17"/>
      <c r="M158" s="9"/>
      <c r="N158" s="9"/>
      <c r="O158" s="25" t="str">
        <f aca="false">IF($C158="","",IFERROR(INDEX(設定!$B$14:$B$18,MATCH($E158,設定!$A$14:$A$18,0)),0))</f>
        <v/>
      </c>
      <c r="P158" s="25" t="str">
        <f aca="false">IF($C158="","",IF(N($G158)&lt;=1,0,MIN(100,LOG10($G158)/LOG10(設定!$B$43)*100)))</f>
        <v/>
      </c>
      <c r="Q158" s="25" t="str">
        <f aca="false">IF($C158="","",IFERROR(INDEX(設定!$B$21:$B$24,MATCH($H158,設定!$A$21:$A$24,0)),0))</f>
        <v/>
      </c>
      <c r="R158" s="25" t="str">
        <f aca="false">IF($C158="","",IF(設定!$B$45&lt;=0,0,MIN(100,N($I158)/設定!$B$45*100)))</f>
        <v/>
      </c>
      <c r="S158" s="25" t="str">
        <f aca="false">IF($C158="","",IFERROR(INDEX(設定!$B$27:$B$29,MATCH($J158,設定!$A$27:$A$29,0)),0))</f>
        <v/>
      </c>
      <c r="T158" s="25" t="str">
        <f aca="false">IF($C158="","",IFERROR(INDEX(設定!$B$32:$B$35,MATCH($K158,設定!$A$32:$A$35,0)),0))</f>
        <v/>
      </c>
      <c r="U158" s="25" t="str">
        <f aca="false">IF($C158="","",IF(N($L158)&lt;1,0,MIN(100,LOG10($L158+1)/LOG10(設定!$B$44+1)*100)))</f>
        <v/>
      </c>
      <c r="V158" s="25" t="str">
        <f aca="false">IF($C158="","",IF(設定!$B$11=0,0,(O158*設定!$B$4+P158*設定!$B$5+Q158*設定!$B$6+R158*設定!$B$7+S158*設定!$B$8+T158*設定!$B$9+U158*設定!$B$10)/設定!$B$11))</f>
        <v/>
      </c>
      <c r="W158" s="25" t="str">
        <f aca="false">IF($C158="","",IFERROR(INDEX(設定!$B$38:$B$40,MATCH($M158,設定!$A$38:$A$40,0)),1))</f>
        <v/>
      </c>
      <c r="X158" s="26" t="str">
        <f aca="false">IF($C158="","",ROUND(V158*W158,1))</f>
        <v/>
      </c>
      <c r="Y158" s="27" t="str">
        <f aca="false">IF($C158="","",INDEX(設定!$B$49:$B$53,MATCH(X158,設定!$A$49:$A$53,1)))</f>
        <v/>
      </c>
    </row>
    <row r="159" customFormat="false" ht="15" hidden="false" customHeight="false" outlineLevel="0" collapsed="false">
      <c r="A159" s="23" t="n">
        <v>155</v>
      </c>
      <c r="B159" s="24"/>
      <c r="C159" s="9"/>
      <c r="D159" s="9"/>
      <c r="E159" s="15"/>
      <c r="F159" s="9"/>
      <c r="G159" s="17"/>
      <c r="H159" s="9"/>
      <c r="I159" s="9"/>
      <c r="J159" s="9"/>
      <c r="K159" s="9"/>
      <c r="L159" s="17"/>
      <c r="M159" s="9"/>
      <c r="N159" s="9"/>
      <c r="O159" s="25" t="str">
        <f aca="false">IF($C159="","",IFERROR(INDEX(設定!$B$14:$B$18,MATCH($E159,設定!$A$14:$A$18,0)),0))</f>
        <v/>
      </c>
      <c r="P159" s="25" t="str">
        <f aca="false">IF($C159="","",IF(N($G159)&lt;=1,0,MIN(100,LOG10($G159)/LOG10(設定!$B$43)*100)))</f>
        <v/>
      </c>
      <c r="Q159" s="25" t="str">
        <f aca="false">IF($C159="","",IFERROR(INDEX(設定!$B$21:$B$24,MATCH($H159,設定!$A$21:$A$24,0)),0))</f>
        <v/>
      </c>
      <c r="R159" s="25" t="str">
        <f aca="false">IF($C159="","",IF(設定!$B$45&lt;=0,0,MIN(100,N($I159)/設定!$B$45*100)))</f>
        <v/>
      </c>
      <c r="S159" s="25" t="str">
        <f aca="false">IF($C159="","",IFERROR(INDEX(設定!$B$27:$B$29,MATCH($J159,設定!$A$27:$A$29,0)),0))</f>
        <v/>
      </c>
      <c r="T159" s="25" t="str">
        <f aca="false">IF($C159="","",IFERROR(INDEX(設定!$B$32:$B$35,MATCH($K159,設定!$A$32:$A$35,0)),0))</f>
        <v/>
      </c>
      <c r="U159" s="25" t="str">
        <f aca="false">IF($C159="","",IF(N($L159)&lt;1,0,MIN(100,LOG10($L159+1)/LOG10(設定!$B$44+1)*100)))</f>
        <v/>
      </c>
      <c r="V159" s="25" t="str">
        <f aca="false">IF($C159="","",IF(設定!$B$11=0,0,(O159*設定!$B$4+P159*設定!$B$5+Q159*設定!$B$6+R159*設定!$B$7+S159*設定!$B$8+T159*設定!$B$9+U159*設定!$B$10)/設定!$B$11))</f>
        <v/>
      </c>
      <c r="W159" s="25" t="str">
        <f aca="false">IF($C159="","",IFERROR(INDEX(設定!$B$38:$B$40,MATCH($M159,設定!$A$38:$A$40,0)),1))</f>
        <v/>
      </c>
      <c r="X159" s="26" t="str">
        <f aca="false">IF($C159="","",ROUND(V159*W159,1))</f>
        <v/>
      </c>
      <c r="Y159" s="27" t="str">
        <f aca="false">IF($C159="","",INDEX(設定!$B$49:$B$53,MATCH(X159,設定!$A$49:$A$53,1)))</f>
        <v/>
      </c>
    </row>
    <row r="160" customFormat="false" ht="15" hidden="false" customHeight="false" outlineLevel="0" collapsed="false">
      <c r="A160" s="23" t="n">
        <v>156</v>
      </c>
      <c r="B160" s="24"/>
      <c r="C160" s="9"/>
      <c r="D160" s="9"/>
      <c r="E160" s="15"/>
      <c r="F160" s="9"/>
      <c r="G160" s="17"/>
      <c r="H160" s="9"/>
      <c r="I160" s="9"/>
      <c r="J160" s="9"/>
      <c r="K160" s="9"/>
      <c r="L160" s="17"/>
      <c r="M160" s="9"/>
      <c r="N160" s="9"/>
      <c r="O160" s="25" t="str">
        <f aca="false">IF($C160="","",IFERROR(INDEX(設定!$B$14:$B$18,MATCH($E160,設定!$A$14:$A$18,0)),0))</f>
        <v/>
      </c>
      <c r="P160" s="25" t="str">
        <f aca="false">IF($C160="","",IF(N($G160)&lt;=1,0,MIN(100,LOG10($G160)/LOG10(設定!$B$43)*100)))</f>
        <v/>
      </c>
      <c r="Q160" s="25" t="str">
        <f aca="false">IF($C160="","",IFERROR(INDEX(設定!$B$21:$B$24,MATCH($H160,設定!$A$21:$A$24,0)),0))</f>
        <v/>
      </c>
      <c r="R160" s="25" t="str">
        <f aca="false">IF($C160="","",IF(設定!$B$45&lt;=0,0,MIN(100,N($I160)/設定!$B$45*100)))</f>
        <v/>
      </c>
      <c r="S160" s="25" t="str">
        <f aca="false">IF($C160="","",IFERROR(INDEX(設定!$B$27:$B$29,MATCH($J160,設定!$A$27:$A$29,0)),0))</f>
        <v/>
      </c>
      <c r="T160" s="25" t="str">
        <f aca="false">IF($C160="","",IFERROR(INDEX(設定!$B$32:$B$35,MATCH($K160,設定!$A$32:$A$35,0)),0))</f>
        <v/>
      </c>
      <c r="U160" s="25" t="str">
        <f aca="false">IF($C160="","",IF(N($L160)&lt;1,0,MIN(100,LOG10($L160+1)/LOG10(設定!$B$44+1)*100)))</f>
        <v/>
      </c>
      <c r="V160" s="25" t="str">
        <f aca="false">IF($C160="","",IF(設定!$B$11=0,0,(O160*設定!$B$4+P160*設定!$B$5+Q160*設定!$B$6+R160*設定!$B$7+S160*設定!$B$8+T160*設定!$B$9+U160*設定!$B$10)/設定!$B$11))</f>
        <v/>
      </c>
      <c r="W160" s="25" t="str">
        <f aca="false">IF($C160="","",IFERROR(INDEX(設定!$B$38:$B$40,MATCH($M160,設定!$A$38:$A$40,0)),1))</f>
        <v/>
      </c>
      <c r="X160" s="26" t="str">
        <f aca="false">IF($C160="","",ROUND(V160*W160,1))</f>
        <v/>
      </c>
      <c r="Y160" s="27" t="str">
        <f aca="false">IF($C160="","",INDEX(設定!$B$49:$B$53,MATCH(X160,設定!$A$49:$A$53,1)))</f>
        <v/>
      </c>
    </row>
    <row r="161" customFormat="false" ht="15" hidden="false" customHeight="false" outlineLevel="0" collapsed="false">
      <c r="A161" s="23" t="n">
        <v>157</v>
      </c>
      <c r="B161" s="24"/>
      <c r="C161" s="9"/>
      <c r="D161" s="9"/>
      <c r="E161" s="15"/>
      <c r="F161" s="9"/>
      <c r="G161" s="17"/>
      <c r="H161" s="9"/>
      <c r="I161" s="9"/>
      <c r="J161" s="9"/>
      <c r="K161" s="9"/>
      <c r="L161" s="17"/>
      <c r="M161" s="9"/>
      <c r="N161" s="9"/>
      <c r="O161" s="25" t="str">
        <f aca="false">IF($C161="","",IFERROR(INDEX(設定!$B$14:$B$18,MATCH($E161,設定!$A$14:$A$18,0)),0))</f>
        <v/>
      </c>
      <c r="P161" s="25" t="str">
        <f aca="false">IF($C161="","",IF(N($G161)&lt;=1,0,MIN(100,LOG10($G161)/LOG10(設定!$B$43)*100)))</f>
        <v/>
      </c>
      <c r="Q161" s="25" t="str">
        <f aca="false">IF($C161="","",IFERROR(INDEX(設定!$B$21:$B$24,MATCH($H161,設定!$A$21:$A$24,0)),0))</f>
        <v/>
      </c>
      <c r="R161" s="25" t="str">
        <f aca="false">IF($C161="","",IF(設定!$B$45&lt;=0,0,MIN(100,N($I161)/設定!$B$45*100)))</f>
        <v/>
      </c>
      <c r="S161" s="25" t="str">
        <f aca="false">IF($C161="","",IFERROR(INDEX(設定!$B$27:$B$29,MATCH($J161,設定!$A$27:$A$29,0)),0))</f>
        <v/>
      </c>
      <c r="T161" s="25" t="str">
        <f aca="false">IF($C161="","",IFERROR(INDEX(設定!$B$32:$B$35,MATCH($K161,設定!$A$32:$A$35,0)),0))</f>
        <v/>
      </c>
      <c r="U161" s="25" t="str">
        <f aca="false">IF($C161="","",IF(N($L161)&lt;1,0,MIN(100,LOG10($L161+1)/LOG10(設定!$B$44+1)*100)))</f>
        <v/>
      </c>
      <c r="V161" s="25" t="str">
        <f aca="false">IF($C161="","",IF(設定!$B$11=0,0,(O161*設定!$B$4+P161*設定!$B$5+Q161*設定!$B$6+R161*設定!$B$7+S161*設定!$B$8+T161*設定!$B$9+U161*設定!$B$10)/設定!$B$11))</f>
        <v/>
      </c>
      <c r="W161" s="25" t="str">
        <f aca="false">IF($C161="","",IFERROR(INDEX(設定!$B$38:$B$40,MATCH($M161,設定!$A$38:$A$40,0)),1))</f>
        <v/>
      </c>
      <c r="X161" s="26" t="str">
        <f aca="false">IF($C161="","",ROUND(V161*W161,1))</f>
        <v/>
      </c>
      <c r="Y161" s="27" t="str">
        <f aca="false">IF($C161="","",INDEX(設定!$B$49:$B$53,MATCH(X161,設定!$A$49:$A$53,1)))</f>
        <v/>
      </c>
    </row>
    <row r="162" customFormat="false" ht="15" hidden="false" customHeight="false" outlineLevel="0" collapsed="false">
      <c r="A162" s="23" t="n">
        <v>158</v>
      </c>
      <c r="B162" s="24"/>
      <c r="C162" s="9"/>
      <c r="D162" s="9"/>
      <c r="E162" s="15"/>
      <c r="F162" s="9"/>
      <c r="G162" s="17"/>
      <c r="H162" s="9"/>
      <c r="I162" s="9"/>
      <c r="J162" s="9"/>
      <c r="K162" s="9"/>
      <c r="L162" s="17"/>
      <c r="M162" s="9"/>
      <c r="N162" s="9"/>
      <c r="O162" s="25" t="str">
        <f aca="false">IF($C162="","",IFERROR(INDEX(設定!$B$14:$B$18,MATCH($E162,設定!$A$14:$A$18,0)),0))</f>
        <v/>
      </c>
      <c r="P162" s="25" t="str">
        <f aca="false">IF($C162="","",IF(N($G162)&lt;=1,0,MIN(100,LOG10($G162)/LOG10(設定!$B$43)*100)))</f>
        <v/>
      </c>
      <c r="Q162" s="25" t="str">
        <f aca="false">IF($C162="","",IFERROR(INDEX(設定!$B$21:$B$24,MATCH($H162,設定!$A$21:$A$24,0)),0))</f>
        <v/>
      </c>
      <c r="R162" s="25" t="str">
        <f aca="false">IF($C162="","",IF(設定!$B$45&lt;=0,0,MIN(100,N($I162)/設定!$B$45*100)))</f>
        <v/>
      </c>
      <c r="S162" s="25" t="str">
        <f aca="false">IF($C162="","",IFERROR(INDEX(設定!$B$27:$B$29,MATCH($J162,設定!$A$27:$A$29,0)),0))</f>
        <v/>
      </c>
      <c r="T162" s="25" t="str">
        <f aca="false">IF($C162="","",IFERROR(INDEX(設定!$B$32:$B$35,MATCH($K162,設定!$A$32:$A$35,0)),0))</f>
        <v/>
      </c>
      <c r="U162" s="25" t="str">
        <f aca="false">IF($C162="","",IF(N($L162)&lt;1,0,MIN(100,LOG10($L162+1)/LOG10(設定!$B$44+1)*100)))</f>
        <v/>
      </c>
      <c r="V162" s="25" t="str">
        <f aca="false">IF($C162="","",IF(設定!$B$11=0,0,(O162*設定!$B$4+P162*設定!$B$5+Q162*設定!$B$6+R162*設定!$B$7+S162*設定!$B$8+T162*設定!$B$9+U162*設定!$B$10)/設定!$B$11))</f>
        <v/>
      </c>
      <c r="W162" s="25" t="str">
        <f aca="false">IF($C162="","",IFERROR(INDEX(設定!$B$38:$B$40,MATCH($M162,設定!$A$38:$A$40,0)),1))</f>
        <v/>
      </c>
      <c r="X162" s="26" t="str">
        <f aca="false">IF($C162="","",ROUND(V162*W162,1))</f>
        <v/>
      </c>
      <c r="Y162" s="27" t="str">
        <f aca="false">IF($C162="","",INDEX(設定!$B$49:$B$53,MATCH(X162,設定!$A$49:$A$53,1)))</f>
        <v/>
      </c>
    </row>
    <row r="163" customFormat="false" ht="15" hidden="false" customHeight="false" outlineLevel="0" collapsed="false">
      <c r="A163" s="23" t="n">
        <v>159</v>
      </c>
      <c r="B163" s="24"/>
      <c r="C163" s="9"/>
      <c r="D163" s="9"/>
      <c r="E163" s="15"/>
      <c r="F163" s="9"/>
      <c r="G163" s="17"/>
      <c r="H163" s="9"/>
      <c r="I163" s="9"/>
      <c r="J163" s="9"/>
      <c r="K163" s="9"/>
      <c r="L163" s="17"/>
      <c r="M163" s="9"/>
      <c r="N163" s="9"/>
      <c r="O163" s="25" t="str">
        <f aca="false">IF($C163="","",IFERROR(INDEX(設定!$B$14:$B$18,MATCH($E163,設定!$A$14:$A$18,0)),0))</f>
        <v/>
      </c>
      <c r="P163" s="25" t="str">
        <f aca="false">IF($C163="","",IF(N($G163)&lt;=1,0,MIN(100,LOG10($G163)/LOG10(設定!$B$43)*100)))</f>
        <v/>
      </c>
      <c r="Q163" s="25" t="str">
        <f aca="false">IF($C163="","",IFERROR(INDEX(設定!$B$21:$B$24,MATCH($H163,設定!$A$21:$A$24,0)),0))</f>
        <v/>
      </c>
      <c r="R163" s="25" t="str">
        <f aca="false">IF($C163="","",IF(設定!$B$45&lt;=0,0,MIN(100,N($I163)/設定!$B$45*100)))</f>
        <v/>
      </c>
      <c r="S163" s="25" t="str">
        <f aca="false">IF($C163="","",IFERROR(INDEX(設定!$B$27:$B$29,MATCH($J163,設定!$A$27:$A$29,0)),0))</f>
        <v/>
      </c>
      <c r="T163" s="25" t="str">
        <f aca="false">IF($C163="","",IFERROR(INDEX(設定!$B$32:$B$35,MATCH($K163,設定!$A$32:$A$35,0)),0))</f>
        <v/>
      </c>
      <c r="U163" s="25" t="str">
        <f aca="false">IF($C163="","",IF(N($L163)&lt;1,0,MIN(100,LOG10($L163+1)/LOG10(設定!$B$44+1)*100)))</f>
        <v/>
      </c>
      <c r="V163" s="25" t="str">
        <f aca="false">IF($C163="","",IF(設定!$B$11=0,0,(O163*設定!$B$4+P163*設定!$B$5+Q163*設定!$B$6+R163*設定!$B$7+S163*設定!$B$8+T163*設定!$B$9+U163*設定!$B$10)/設定!$B$11))</f>
        <v/>
      </c>
      <c r="W163" s="25" t="str">
        <f aca="false">IF($C163="","",IFERROR(INDEX(設定!$B$38:$B$40,MATCH($M163,設定!$A$38:$A$40,0)),1))</f>
        <v/>
      </c>
      <c r="X163" s="26" t="str">
        <f aca="false">IF($C163="","",ROUND(V163*W163,1))</f>
        <v/>
      </c>
      <c r="Y163" s="27" t="str">
        <f aca="false">IF($C163="","",INDEX(設定!$B$49:$B$53,MATCH(X163,設定!$A$49:$A$53,1)))</f>
        <v/>
      </c>
    </row>
    <row r="164" customFormat="false" ht="15" hidden="false" customHeight="false" outlineLevel="0" collapsed="false">
      <c r="A164" s="23" t="n">
        <v>160</v>
      </c>
      <c r="B164" s="24"/>
      <c r="C164" s="9"/>
      <c r="D164" s="9"/>
      <c r="E164" s="15"/>
      <c r="F164" s="9"/>
      <c r="G164" s="17"/>
      <c r="H164" s="9"/>
      <c r="I164" s="9"/>
      <c r="J164" s="9"/>
      <c r="K164" s="9"/>
      <c r="L164" s="17"/>
      <c r="M164" s="9"/>
      <c r="N164" s="9"/>
      <c r="O164" s="25" t="str">
        <f aca="false">IF($C164="","",IFERROR(INDEX(設定!$B$14:$B$18,MATCH($E164,設定!$A$14:$A$18,0)),0))</f>
        <v/>
      </c>
      <c r="P164" s="25" t="str">
        <f aca="false">IF($C164="","",IF(N($G164)&lt;=1,0,MIN(100,LOG10($G164)/LOG10(設定!$B$43)*100)))</f>
        <v/>
      </c>
      <c r="Q164" s="25" t="str">
        <f aca="false">IF($C164="","",IFERROR(INDEX(設定!$B$21:$B$24,MATCH($H164,設定!$A$21:$A$24,0)),0))</f>
        <v/>
      </c>
      <c r="R164" s="25" t="str">
        <f aca="false">IF($C164="","",IF(設定!$B$45&lt;=0,0,MIN(100,N($I164)/設定!$B$45*100)))</f>
        <v/>
      </c>
      <c r="S164" s="25" t="str">
        <f aca="false">IF($C164="","",IFERROR(INDEX(設定!$B$27:$B$29,MATCH($J164,設定!$A$27:$A$29,0)),0))</f>
        <v/>
      </c>
      <c r="T164" s="25" t="str">
        <f aca="false">IF($C164="","",IFERROR(INDEX(設定!$B$32:$B$35,MATCH($K164,設定!$A$32:$A$35,0)),0))</f>
        <v/>
      </c>
      <c r="U164" s="25" t="str">
        <f aca="false">IF($C164="","",IF(N($L164)&lt;1,0,MIN(100,LOG10($L164+1)/LOG10(設定!$B$44+1)*100)))</f>
        <v/>
      </c>
      <c r="V164" s="25" t="str">
        <f aca="false">IF($C164="","",IF(設定!$B$11=0,0,(O164*設定!$B$4+P164*設定!$B$5+Q164*設定!$B$6+R164*設定!$B$7+S164*設定!$B$8+T164*設定!$B$9+U164*設定!$B$10)/設定!$B$11))</f>
        <v/>
      </c>
      <c r="W164" s="25" t="str">
        <f aca="false">IF($C164="","",IFERROR(INDEX(設定!$B$38:$B$40,MATCH($M164,設定!$A$38:$A$40,0)),1))</f>
        <v/>
      </c>
      <c r="X164" s="26" t="str">
        <f aca="false">IF($C164="","",ROUND(V164*W164,1))</f>
        <v/>
      </c>
      <c r="Y164" s="27" t="str">
        <f aca="false">IF($C164="","",INDEX(設定!$B$49:$B$53,MATCH(X164,設定!$A$49:$A$53,1)))</f>
        <v/>
      </c>
    </row>
    <row r="165" customFormat="false" ht="15" hidden="false" customHeight="false" outlineLevel="0" collapsed="false">
      <c r="A165" s="23" t="n">
        <v>161</v>
      </c>
      <c r="B165" s="24"/>
      <c r="C165" s="9"/>
      <c r="D165" s="9"/>
      <c r="E165" s="15"/>
      <c r="F165" s="9"/>
      <c r="G165" s="17"/>
      <c r="H165" s="9"/>
      <c r="I165" s="9"/>
      <c r="J165" s="9"/>
      <c r="K165" s="9"/>
      <c r="L165" s="17"/>
      <c r="M165" s="9"/>
      <c r="N165" s="9"/>
      <c r="O165" s="25" t="str">
        <f aca="false">IF($C165="","",IFERROR(INDEX(設定!$B$14:$B$18,MATCH($E165,設定!$A$14:$A$18,0)),0))</f>
        <v/>
      </c>
      <c r="P165" s="25" t="str">
        <f aca="false">IF($C165="","",IF(N($G165)&lt;=1,0,MIN(100,LOG10($G165)/LOG10(設定!$B$43)*100)))</f>
        <v/>
      </c>
      <c r="Q165" s="25" t="str">
        <f aca="false">IF($C165="","",IFERROR(INDEX(設定!$B$21:$B$24,MATCH($H165,設定!$A$21:$A$24,0)),0))</f>
        <v/>
      </c>
      <c r="R165" s="25" t="str">
        <f aca="false">IF($C165="","",IF(設定!$B$45&lt;=0,0,MIN(100,N($I165)/設定!$B$45*100)))</f>
        <v/>
      </c>
      <c r="S165" s="25" t="str">
        <f aca="false">IF($C165="","",IFERROR(INDEX(設定!$B$27:$B$29,MATCH($J165,設定!$A$27:$A$29,0)),0))</f>
        <v/>
      </c>
      <c r="T165" s="25" t="str">
        <f aca="false">IF($C165="","",IFERROR(INDEX(設定!$B$32:$B$35,MATCH($K165,設定!$A$32:$A$35,0)),0))</f>
        <v/>
      </c>
      <c r="U165" s="25" t="str">
        <f aca="false">IF($C165="","",IF(N($L165)&lt;1,0,MIN(100,LOG10($L165+1)/LOG10(設定!$B$44+1)*100)))</f>
        <v/>
      </c>
      <c r="V165" s="25" t="str">
        <f aca="false">IF($C165="","",IF(設定!$B$11=0,0,(O165*設定!$B$4+P165*設定!$B$5+Q165*設定!$B$6+R165*設定!$B$7+S165*設定!$B$8+T165*設定!$B$9+U165*設定!$B$10)/設定!$B$11))</f>
        <v/>
      </c>
      <c r="W165" s="25" t="str">
        <f aca="false">IF($C165="","",IFERROR(INDEX(設定!$B$38:$B$40,MATCH($M165,設定!$A$38:$A$40,0)),1))</f>
        <v/>
      </c>
      <c r="X165" s="26" t="str">
        <f aca="false">IF($C165="","",ROUND(V165*W165,1))</f>
        <v/>
      </c>
      <c r="Y165" s="27" t="str">
        <f aca="false">IF($C165="","",INDEX(設定!$B$49:$B$53,MATCH(X165,設定!$A$49:$A$53,1)))</f>
        <v/>
      </c>
    </row>
    <row r="166" customFormat="false" ht="15" hidden="false" customHeight="false" outlineLevel="0" collapsed="false">
      <c r="A166" s="23" t="n">
        <v>162</v>
      </c>
      <c r="B166" s="24"/>
      <c r="C166" s="9"/>
      <c r="D166" s="9"/>
      <c r="E166" s="15"/>
      <c r="F166" s="9"/>
      <c r="G166" s="17"/>
      <c r="H166" s="9"/>
      <c r="I166" s="9"/>
      <c r="J166" s="9"/>
      <c r="K166" s="9"/>
      <c r="L166" s="17"/>
      <c r="M166" s="9"/>
      <c r="N166" s="9"/>
      <c r="O166" s="25" t="str">
        <f aca="false">IF($C166="","",IFERROR(INDEX(設定!$B$14:$B$18,MATCH($E166,設定!$A$14:$A$18,0)),0))</f>
        <v/>
      </c>
      <c r="P166" s="25" t="str">
        <f aca="false">IF($C166="","",IF(N($G166)&lt;=1,0,MIN(100,LOG10($G166)/LOG10(設定!$B$43)*100)))</f>
        <v/>
      </c>
      <c r="Q166" s="25" t="str">
        <f aca="false">IF($C166="","",IFERROR(INDEX(設定!$B$21:$B$24,MATCH($H166,設定!$A$21:$A$24,0)),0))</f>
        <v/>
      </c>
      <c r="R166" s="25" t="str">
        <f aca="false">IF($C166="","",IF(設定!$B$45&lt;=0,0,MIN(100,N($I166)/設定!$B$45*100)))</f>
        <v/>
      </c>
      <c r="S166" s="25" t="str">
        <f aca="false">IF($C166="","",IFERROR(INDEX(設定!$B$27:$B$29,MATCH($J166,設定!$A$27:$A$29,0)),0))</f>
        <v/>
      </c>
      <c r="T166" s="25" t="str">
        <f aca="false">IF($C166="","",IFERROR(INDEX(設定!$B$32:$B$35,MATCH($K166,設定!$A$32:$A$35,0)),0))</f>
        <v/>
      </c>
      <c r="U166" s="25" t="str">
        <f aca="false">IF($C166="","",IF(N($L166)&lt;1,0,MIN(100,LOG10($L166+1)/LOG10(設定!$B$44+1)*100)))</f>
        <v/>
      </c>
      <c r="V166" s="25" t="str">
        <f aca="false">IF($C166="","",IF(設定!$B$11=0,0,(O166*設定!$B$4+P166*設定!$B$5+Q166*設定!$B$6+R166*設定!$B$7+S166*設定!$B$8+T166*設定!$B$9+U166*設定!$B$10)/設定!$B$11))</f>
        <v/>
      </c>
      <c r="W166" s="25" t="str">
        <f aca="false">IF($C166="","",IFERROR(INDEX(設定!$B$38:$B$40,MATCH($M166,設定!$A$38:$A$40,0)),1))</f>
        <v/>
      </c>
      <c r="X166" s="26" t="str">
        <f aca="false">IF($C166="","",ROUND(V166*W166,1))</f>
        <v/>
      </c>
      <c r="Y166" s="27" t="str">
        <f aca="false">IF($C166="","",INDEX(設定!$B$49:$B$53,MATCH(X166,設定!$A$49:$A$53,1)))</f>
        <v/>
      </c>
    </row>
    <row r="167" customFormat="false" ht="15" hidden="false" customHeight="false" outlineLevel="0" collapsed="false">
      <c r="A167" s="23" t="n">
        <v>163</v>
      </c>
      <c r="B167" s="24"/>
      <c r="C167" s="9"/>
      <c r="D167" s="9"/>
      <c r="E167" s="15"/>
      <c r="F167" s="9"/>
      <c r="G167" s="17"/>
      <c r="H167" s="9"/>
      <c r="I167" s="9"/>
      <c r="J167" s="9"/>
      <c r="K167" s="9"/>
      <c r="L167" s="17"/>
      <c r="M167" s="9"/>
      <c r="N167" s="9"/>
      <c r="O167" s="25" t="str">
        <f aca="false">IF($C167="","",IFERROR(INDEX(設定!$B$14:$B$18,MATCH($E167,設定!$A$14:$A$18,0)),0))</f>
        <v/>
      </c>
      <c r="P167" s="25" t="str">
        <f aca="false">IF($C167="","",IF(N($G167)&lt;=1,0,MIN(100,LOG10($G167)/LOG10(設定!$B$43)*100)))</f>
        <v/>
      </c>
      <c r="Q167" s="25" t="str">
        <f aca="false">IF($C167="","",IFERROR(INDEX(設定!$B$21:$B$24,MATCH($H167,設定!$A$21:$A$24,0)),0))</f>
        <v/>
      </c>
      <c r="R167" s="25" t="str">
        <f aca="false">IF($C167="","",IF(設定!$B$45&lt;=0,0,MIN(100,N($I167)/設定!$B$45*100)))</f>
        <v/>
      </c>
      <c r="S167" s="25" t="str">
        <f aca="false">IF($C167="","",IFERROR(INDEX(設定!$B$27:$B$29,MATCH($J167,設定!$A$27:$A$29,0)),0))</f>
        <v/>
      </c>
      <c r="T167" s="25" t="str">
        <f aca="false">IF($C167="","",IFERROR(INDEX(設定!$B$32:$B$35,MATCH($K167,設定!$A$32:$A$35,0)),0))</f>
        <v/>
      </c>
      <c r="U167" s="25" t="str">
        <f aca="false">IF($C167="","",IF(N($L167)&lt;1,0,MIN(100,LOG10($L167+1)/LOG10(設定!$B$44+1)*100)))</f>
        <v/>
      </c>
      <c r="V167" s="25" t="str">
        <f aca="false">IF($C167="","",IF(設定!$B$11=0,0,(O167*設定!$B$4+P167*設定!$B$5+Q167*設定!$B$6+R167*設定!$B$7+S167*設定!$B$8+T167*設定!$B$9+U167*設定!$B$10)/設定!$B$11))</f>
        <v/>
      </c>
      <c r="W167" s="25" t="str">
        <f aca="false">IF($C167="","",IFERROR(INDEX(設定!$B$38:$B$40,MATCH($M167,設定!$A$38:$A$40,0)),1))</f>
        <v/>
      </c>
      <c r="X167" s="26" t="str">
        <f aca="false">IF($C167="","",ROUND(V167*W167,1))</f>
        <v/>
      </c>
      <c r="Y167" s="27" t="str">
        <f aca="false">IF($C167="","",INDEX(設定!$B$49:$B$53,MATCH(X167,設定!$A$49:$A$53,1)))</f>
        <v/>
      </c>
    </row>
    <row r="168" customFormat="false" ht="15" hidden="false" customHeight="false" outlineLevel="0" collapsed="false">
      <c r="A168" s="23" t="n">
        <v>164</v>
      </c>
      <c r="B168" s="24"/>
      <c r="C168" s="9"/>
      <c r="D168" s="9"/>
      <c r="E168" s="15"/>
      <c r="F168" s="9"/>
      <c r="G168" s="17"/>
      <c r="H168" s="9"/>
      <c r="I168" s="9"/>
      <c r="J168" s="9"/>
      <c r="K168" s="9"/>
      <c r="L168" s="17"/>
      <c r="M168" s="9"/>
      <c r="N168" s="9"/>
      <c r="O168" s="25" t="str">
        <f aca="false">IF($C168="","",IFERROR(INDEX(設定!$B$14:$B$18,MATCH($E168,設定!$A$14:$A$18,0)),0))</f>
        <v/>
      </c>
      <c r="P168" s="25" t="str">
        <f aca="false">IF($C168="","",IF(N($G168)&lt;=1,0,MIN(100,LOG10($G168)/LOG10(設定!$B$43)*100)))</f>
        <v/>
      </c>
      <c r="Q168" s="25" t="str">
        <f aca="false">IF($C168="","",IFERROR(INDEX(設定!$B$21:$B$24,MATCH($H168,設定!$A$21:$A$24,0)),0))</f>
        <v/>
      </c>
      <c r="R168" s="25" t="str">
        <f aca="false">IF($C168="","",IF(設定!$B$45&lt;=0,0,MIN(100,N($I168)/設定!$B$45*100)))</f>
        <v/>
      </c>
      <c r="S168" s="25" t="str">
        <f aca="false">IF($C168="","",IFERROR(INDEX(設定!$B$27:$B$29,MATCH($J168,設定!$A$27:$A$29,0)),0))</f>
        <v/>
      </c>
      <c r="T168" s="25" t="str">
        <f aca="false">IF($C168="","",IFERROR(INDEX(設定!$B$32:$B$35,MATCH($K168,設定!$A$32:$A$35,0)),0))</f>
        <v/>
      </c>
      <c r="U168" s="25" t="str">
        <f aca="false">IF($C168="","",IF(N($L168)&lt;1,0,MIN(100,LOG10($L168+1)/LOG10(設定!$B$44+1)*100)))</f>
        <v/>
      </c>
      <c r="V168" s="25" t="str">
        <f aca="false">IF($C168="","",IF(設定!$B$11=0,0,(O168*設定!$B$4+P168*設定!$B$5+Q168*設定!$B$6+R168*設定!$B$7+S168*設定!$B$8+T168*設定!$B$9+U168*設定!$B$10)/設定!$B$11))</f>
        <v/>
      </c>
      <c r="W168" s="25" t="str">
        <f aca="false">IF($C168="","",IFERROR(INDEX(設定!$B$38:$B$40,MATCH($M168,設定!$A$38:$A$40,0)),1))</f>
        <v/>
      </c>
      <c r="X168" s="26" t="str">
        <f aca="false">IF($C168="","",ROUND(V168*W168,1))</f>
        <v/>
      </c>
      <c r="Y168" s="27" t="str">
        <f aca="false">IF($C168="","",INDEX(設定!$B$49:$B$53,MATCH(X168,設定!$A$49:$A$53,1)))</f>
        <v/>
      </c>
    </row>
    <row r="169" customFormat="false" ht="15" hidden="false" customHeight="false" outlineLevel="0" collapsed="false">
      <c r="A169" s="23" t="n">
        <v>165</v>
      </c>
      <c r="B169" s="24"/>
      <c r="C169" s="9"/>
      <c r="D169" s="9"/>
      <c r="E169" s="15"/>
      <c r="F169" s="9"/>
      <c r="G169" s="17"/>
      <c r="H169" s="9"/>
      <c r="I169" s="9"/>
      <c r="J169" s="9"/>
      <c r="K169" s="9"/>
      <c r="L169" s="17"/>
      <c r="M169" s="9"/>
      <c r="N169" s="9"/>
      <c r="O169" s="25" t="str">
        <f aca="false">IF($C169="","",IFERROR(INDEX(設定!$B$14:$B$18,MATCH($E169,設定!$A$14:$A$18,0)),0))</f>
        <v/>
      </c>
      <c r="P169" s="25" t="str">
        <f aca="false">IF($C169="","",IF(N($G169)&lt;=1,0,MIN(100,LOG10($G169)/LOG10(設定!$B$43)*100)))</f>
        <v/>
      </c>
      <c r="Q169" s="25" t="str">
        <f aca="false">IF($C169="","",IFERROR(INDEX(設定!$B$21:$B$24,MATCH($H169,設定!$A$21:$A$24,0)),0))</f>
        <v/>
      </c>
      <c r="R169" s="25" t="str">
        <f aca="false">IF($C169="","",IF(設定!$B$45&lt;=0,0,MIN(100,N($I169)/設定!$B$45*100)))</f>
        <v/>
      </c>
      <c r="S169" s="25" t="str">
        <f aca="false">IF($C169="","",IFERROR(INDEX(設定!$B$27:$B$29,MATCH($J169,設定!$A$27:$A$29,0)),0))</f>
        <v/>
      </c>
      <c r="T169" s="25" t="str">
        <f aca="false">IF($C169="","",IFERROR(INDEX(設定!$B$32:$B$35,MATCH($K169,設定!$A$32:$A$35,0)),0))</f>
        <v/>
      </c>
      <c r="U169" s="25" t="str">
        <f aca="false">IF($C169="","",IF(N($L169)&lt;1,0,MIN(100,LOG10($L169+1)/LOG10(設定!$B$44+1)*100)))</f>
        <v/>
      </c>
      <c r="V169" s="25" t="str">
        <f aca="false">IF($C169="","",IF(設定!$B$11=0,0,(O169*設定!$B$4+P169*設定!$B$5+Q169*設定!$B$6+R169*設定!$B$7+S169*設定!$B$8+T169*設定!$B$9+U169*設定!$B$10)/設定!$B$11))</f>
        <v/>
      </c>
      <c r="W169" s="25" t="str">
        <f aca="false">IF($C169="","",IFERROR(INDEX(設定!$B$38:$B$40,MATCH($M169,設定!$A$38:$A$40,0)),1))</f>
        <v/>
      </c>
      <c r="X169" s="26" t="str">
        <f aca="false">IF($C169="","",ROUND(V169*W169,1))</f>
        <v/>
      </c>
      <c r="Y169" s="27" t="str">
        <f aca="false">IF($C169="","",INDEX(設定!$B$49:$B$53,MATCH(X169,設定!$A$49:$A$53,1)))</f>
        <v/>
      </c>
    </row>
    <row r="170" customFormat="false" ht="15" hidden="false" customHeight="false" outlineLevel="0" collapsed="false">
      <c r="A170" s="23" t="n">
        <v>166</v>
      </c>
      <c r="B170" s="24"/>
      <c r="C170" s="9"/>
      <c r="D170" s="9"/>
      <c r="E170" s="15"/>
      <c r="F170" s="9"/>
      <c r="G170" s="17"/>
      <c r="H170" s="9"/>
      <c r="I170" s="9"/>
      <c r="J170" s="9"/>
      <c r="K170" s="9"/>
      <c r="L170" s="17"/>
      <c r="M170" s="9"/>
      <c r="N170" s="9"/>
      <c r="O170" s="25" t="str">
        <f aca="false">IF($C170="","",IFERROR(INDEX(設定!$B$14:$B$18,MATCH($E170,設定!$A$14:$A$18,0)),0))</f>
        <v/>
      </c>
      <c r="P170" s="25" t="str">
        <f aca="false">IF($C170="","",IF(N($G170)&lt;=1,0,MIN(100,LOG10($G170)/LOG10(設定!$B$43)*100)))</f>
        <v/>
      </c>
      <c r="Q170" s="25" t="str">
        <f aca="false">IF($C170="","",IFERROR(INDEX(設定!$B$21:$B$24,MATCH($H170,設定!$A$21:$A$24,0)),0))</f>
        <v/>
      </c>
      <c r="R170" s="25" t="str">
        <f aca="false">IF($C170="","",IF(設定!$B$45&lt;=0,0,MIN(100,N($I170)/設定!$B$45*100)))</f>
        <v/>
      </c>
      <c r="S170" s="25" t="str">
        <f aca="false">IF($C170="","",IFERROR(INDEX(設定!$B$27:$B$29,MATCH($J170,設定!$A$27:$A$29,0)),0))</f>
        <v/>
      </c>
      <c r="T170" s="25" t="str">
        <f aca="false">IF($C170="","",IFERROR(INDEX(設定!$B$32:$B$35,MATCH($K170,設定!$A$32:$A$35,0)),0))</f>
        <v/>
      </c>
      <c r="U170" s="25" t="str">
        <f aca="false">IF($C170="","",IF(N($L170)&lt;1,0,MIN(100,LOG10($L170+1)/LOG10(設定!$B$44+1)*100)))</f>
        <v/>
      </c>
      <c r="V170" s="25" t="str">
        <f aca="false">IF($C170="","",IF(設定!$B$11=0,0,(O170*設定!$B$4+P170*設定!$B$5+Q170*設定!$B$6+R170*設定!$B$7+S170*設定!$B$8+T170*設定!$B$9+U170*設定!$B$10)/設定!$B$11))</f>
        <v/>
      </c>
      <c r="W170" s="25" t="str">
        <f aca="false">IF($C170="","",IFERROR(INDEX(設定!$B$38:$B$40,MATCH($M170,設定!$A$38:$A$40,0)),1))</f>
        <v/>
      </c>
      <c r="X170" s="26" t="str">
        <f aca="false">IF($C170="","",ROUND(V170*W170,1))</f>
        <v/>
      </c>
      <c r="Y170" s="27" t="str">
        <f aca="false">IF($C170="","",INDEX(設定!$B$49:$B$53,MATCH(X170,設定!$A$49:$A$53,1)))</f>
        <v/>
      </c>
    </row>
    <row r="171" customFormat="false" ht="15" hidden="false" customHeight="false" outlineLevel="0" collapsed="false">
      <c r="A171" s="23" t="n">
        <v>167</v>
      </c>
      <c r="B171" s="24"/>
      <c r="C171" s="9"/>
      <c r="D171" s="9"/>
      <c r="E171" s="15"/>
      <c r="F171" s="9"/>
      <c r="G171" s="17"/>
      <c r="H171" s="9"/>
      <c r="I171" s="9"/>
      <c r="J171" s="9"/>
      <c r="K171" s="9"/>
      <c r="L171" s="17"/>
      <c r="M171" s="9"/>
      <c r="N171" s="9"/>
      <c r="O171" s="25" t="str">
        <f aca="false">IF($C171="","",IFERROR(INDEX(設定!$B$14:$B$18,MATCH($E171,設定!$A$14:$A$18,0)),0))</f>
        <v/>
      </c>
      <c r="P171" s="25" t="str">
        <f aca="false">IF($C171="","",IF(N($G171)&lt;=1,0,MIN(100,LOG10($G171)/LOG10(設定!$B$43)*100)))</f>
        <v/>
      </c>
      <c r="Q171" s="25" t="str">
        <f aca="false">IF($C171="","",IFERROR(INDEX(設定!$B$21:$B$24,MATCH($H171,設定!$A$21:$A$24,0)),0))</f>
        <v/>
      </c>
      <c r="R171" s="25" t="str">
        <f aca="false">IF($C171="","",IF(設定!$B$45&lt;=0,0,MIN(100,N($I171)/設定!$B$45*100)))</f>
        <v/>
      </c>
      <c r="S171" s="25" t="str">
        <f aca="false">IF($C171="","",IFERROR(INDEX(設定!$B$27:$B$29,MATCH($J171,設定!$A$27:$A$29,0)),0))</f>
        <v/>
      </c>
      <c r="T171" s="25" t="str">
        <f aca="false">IF($C171="","",IFERROR(INDEX(設定!$B$32:$B$35,MATCH($K171,設定!$A$32:$A$35,0)),0))</f>
        <v/>
      </c>
      <c r="U171" s="25" t="str">
        <f aca="false">IF($C171="","",IF(N($L171)&lt;1,0,MIN(100,LOG10($L171+1)/LOG10(設定!$B$44+1)*100)))</f>
        <v/>
      </c>
      <c r="V171" s="25" t="str">
        <f aca="false">IF($C171="","",IF(設定!$B$11=0,0,(O171*設定!$B$4+P171*設定!$B$5+Q171*設定!$B$6+R171*設定!$B$7+S171*設定!$B$8+T171*設定!$B$9+U171*設定!$B$10)/設定!$B$11))</f>
        <v/>
      </c>
      <c r="W171" s="25" t="str">
        <f aca="false">IF($C171="","",IFERROR(INDEX(設定!$B$38:$B$40,MATCH($M171,設定!$A$38:$A$40,0)),1))</f>
        <v/>
      </c>
      <c r="X171" s="26" t="str">
        <f aca="false">IF($C171="","",ROUND(V171*W171,1))</f>
        <v/>
      </c>
      <c r="Y171" s="27" t="str">
        <f aca="false">IF($C171="","",INDEX(設定!$B$49:$B$53,MATCH(X171,設定!$A$49:$A$53,1)))</f>
        <v/>
      </c>
    </row>
    <row r="172" customFormat="false" ht="15" hidden="false" customHeight="false" outlineLevel="0" collapsed="false">
      <c r="A172" s="23" t="n">
        <v>168</v>
      </c>
      <c r="B172" s="24"/>
      <c r="C172" s="9"/>
      <c r="D172" s="9"/>
      <c r="E172" s="15"/>
      <c r="F172" s="9"/>
      <c r="G172" s="17"/>
      <c r="H172" s="9"/>
      <c r="I172" s="9"/>
      <c r="J172" s="9"/>
      <c r="K172" s="9"/>
      <c r="L172" s="17"/>
      <c r="M172" s="9"/>
      <c r="N172" s="9"/>
      <c r="O172" s="25" t="str">
        <f aca="false">IF($C172="","",IFERROR(INDEX(設定!$B$14:$B$18,MATCH($E172,設定!$A$14:$A$18,0)),0))</f>
        <v/>
      </c>
      <c r="P172" s="25" t="str">
        <f aca="false">IF($C172="","",IF(N($G172)&lt;=1,0,MIN(100,LOG10($G172)/LOG10(設定!$B$43)*100)))</f>
        <v/>
      </c>
      <c r="Q172" s="25" t="str">
        <f aca="false">IF($C172="","",IFERROR(INDEX(設定!$B$21:$B$24,MATCH($H172,設定!$A$21:$A$24,0)),0))</f>
        <v/>
      </c>
      <c r="R172" s="25" t="str">
        <f aca="false">IF($C172="","",IF(設定!$B$45&lt;=0,0,MIN(100,N($I172)/設定!$B$45*100)))</f>
        <v/>
      </c>
      <c r="S172" s="25" t="str">
        <f aca="false">IF($C172="","",IFERROR(INDEX(設定!$B$27:$B$29,MATCH($J172,設定!$A$27:$A$29,0)),0))</f>
        <v/>
      </c>
      <c r="T172" s="25" t="str">
        <f aca="false">IF($C172="","",IFERROR(INDEX(設定!$B$32:$B$35,MATCH($K172,設定!$A$32:$A$35,0)),0))</f>
        <v/>
      </c>
      <c r="U172" s="25" t="str">
        <f aca="false">IF($C172="","",IF(N($L172)&lt;1,0,MIN(100,LOG10($L172+1)/LOG10(設定!$B$44+1)*100)))</f>
        <v/>
      </c>
      <c r="V172" s="25" t="str">
        <f aca="false">IF($C172="","",IF(設定!$B$11=0,0,(O172*設定!$B$4+P172*設定!$B$5+Q172*設定!$B$6+R172*設定!$B$7+S172*設定!$B$8+T172*設定!$B$9+U172*設定!$B$10)/設定!$B$11))</f>
        <v/>
      </c>
      <c r="W172" s="25" t="str">
        <f aca="false">IF($C172="","",IFERROR(INDEX(設定!$B$38:$B$40,MATCH($M172,設定!$A$38:$A$40,0)),1))</f>
        <v/>
      </c>
      <c r="X172" s="26" t="str">
        <f aca="false">IF($C172="","",ROUND(V172*W172,1))</f>
        <v/>
      </c>
      <c r="Y172" s="27" t="str">
        <f aca="false">IF($C172="","",INDEX(設定!$B$49:$B$53,MATCH(X172,設定!$A$49:$A$53,1)))</f>
        <v/>
      </c>
    </row>
    <row r="173" customFormat="false" ht="15" hidden="false" customHeight="false" outlineLevel="0" collapsed="false">
      <c r="A173" s="23" t="n">
        <v>169</v>
      </c>
      <c r="B173" s="24"/>
      <c r="C173" s="9"/>
      <c r="D173" s="9"/>
      <c r="E173" s="15"/>
      <c r="F173" s="9"/>
      <c r="G173" s="17"/>
      <c r="H173" s="9"/>
      <c r="I173" s="9"/>
      <c r="J173" s="9"/>
      <c r="K173" s="9"/>
      <c r="L173" s="17"/>
      <c r="M173" s="9"/>
      <c r="N173" s="9"/>
      <c r="O173" s="25" t="str">
        <f aca="false">IF($C173="","",IFERROR(INDEX(設定!$B$14:$B$18,MATCH($E173,設定!$A$14:$A$18,0)),0))</f>
        <v/>
      </c>
      <c r="P173" s="25" t="str">
        <f aca="false">IF($C173="","",IF(N($G173)&lt;=1,0,MIN(100,LOG10($G173)/LOG10(設定!$B$43)*100)))</f>
        <v/>
      </c>
      <c r="Q173" s="25" t="str">
        <f aca="false">IF($C173="","",IFERROR(INDEX(設定!$B$21:$B$24,MATCH($H173,設定!$A$21:$A$24,0)),0))</f>
        <v/>
      </c>
      <c r="R173" s="25" t="str">
        <f aca="false">IF($C173="","",IF(設定!$B$45&lt;=0,0,MIN(100,N($I173)/設定!$B$45*100)))</f>
        <v/>
      </c>
      <c r="S173" s="25" t="str">
        <f aca="false">IF($C173="","",IFERROR(INDEX(設定!$B$27:$B$29,MATCH($J173,設定!$A$27:$A$29,0)),0))</f>
        <v/>
      </c>
      <c r="T173" s="25" t="str">
        <f aca="false">IF($C173="","",IFERROR(INDEX(設定!$B$32:$B$35,MATCH($K173,設定!$A$32:$A$35,0)),0))</f>
        <v/>
      </c>
      <c r="U173" s="25" t="str">
        <f aca="false">IF($C173="","",IF(N($L173)&lt;1,0,MIN(100,LOG10($L173+1)/LOG10(設定!$B$44+1)*100)))</f>
        <v/>
      </c>
      <c r="V173" s="25" t="str">
        <f aca="false">IF($C173="","",IF(設定!$B$11=0,0,(O173*設定!$B$4+P173*設定!$B$5+Q173*設定!$B$6+R173*設定!$B$7+S173*設定!$B$8+T173*設定!$B$9+U173*設定!$B$10)/設定!$B$11))</f>
        <v/>
      </c>
      <c r="W173" s="25" t="str">
        <f aca="false">IF($C173="","",IFERROR(INDEX(設定!$B$38:$B$40,MATCH($M173,設定!$A$38:$A$40,0)),1))</f>
        <v/>
      </c>
      <c r="X173" s="26" t="str">
        <f aca="false">IF($C173="","",ROUND(V173*W173,1))</f>
        <v/>
      </c>
      <c r="Y173" s="27" t="str">
        <f aca="false">IF($C173="","",INDEX(設定!$B$49:$B$53,MATCH(X173,設定!$A$49:$A$53,1)))</f>
        <v/>
      </c>
    </row>
    <row r="174" customFormat="false" ht="15" hidden="false" customHeight="false" outlineLevel="0" collapsed="false">
      <c r="A174" s="23" t="n">
        <v>170</v>
      </c>
      <c r="B174" s="24"/>
      <c r="C174" s="9"/>
      <c r="D174" s="9"/>
      <c r="E174" s="15"/>
      <c r="F174" s="9"/>
      <c r="G174" s="17"/>
      <c r="H174" s="9"/>
      <c r="I174" s="9"/>
      <c r="J174" s="9"/>
      <c r="K174" s="9"/>
      <c r="L174" s="17"/>
      <c r="M174" s="9"/>
      <c r="N174" s="9"/>
      <c r="O174" s="25" t="str">
        <f aca="false">IF($C174="","",IFERROR(INDEX(設定!$B$14:$B$18,MATCH($E174,設定!$A$14:$A$18,0)),0))</f>
        <v/>
      </c>
      <c r="P174" s="25" t="str">
        <f aca="false">IF($C174="","",IF(N($G174)&lt;=1,0,MIN(100,LOG10($G174)/LOG10(設定!$B$43)*100)))</f>
        <v/>
      </c>
      <c r="Q174" s="25" t="str">
        <f aca="false">IF($C174="","",IFERROR(INDEX(設定!$B$21:$B$24,MATCH($H174,設定!$A$21:$A$24,0)),0))</f>
        <v/>
      </c>
      <c r="R174" s="25" t="str">
        <f aca="false">IF($C174="","",IF(設定!$B$45&lt;=0,0,MIN(100,N($I174)/設定!$B$45*100)))</f>
        <v/>
      </c>
      <c r="S174" s="25" t="str">
        <f aca="false">IF($C174="","",IFERROR(INDEX(設定!$B$27:$B$29,MATCH($J174,設定!$A$27:$A$29,0)),0))</f>
        <v/>
      </c>
      <c r="T174" s="25" t="str">
        <f aca="false">IF($C174="","",IFERROR(INDEX(設定!$B$32:$B$35,MATCH($K174,設定!$A$32:$A$35,0)),0))</f>
        <v/>
      </c>
      <c r="U174" s="25" t="str">
        <f aca="false">IF($C174="","",IF(N($L174)&lt;1,0,MIN(100,LOG10($L174+1)/LOG10(設定!$B$44+1)*100)))</f>
        <v/>
      </c>
      <c r="V174" s="25" t="str">
        <f aca="false">IF($C174="","",IF(設定!$B$11=0,0,(O174*設定!$B$4+P174*設定!$B$5+Q174*設定!$B$6+R174*設定!$B$7+S174*設定!$B$8+T174*設定!$B$9+U174*設定!$B$10)/設定!$B$11))</f>
        <v/>
      </c>
      <c r="W174" s="25" t="str">
        <f aca="false">IF($C174="","",IFERROR(INDEX(設定!$B$38:$B$40,MATCH($M174,設定!$A$38:$A$40,0)),1))</f>
        <v/>
      </c>
      <c r="X174" s="26" t="str">
        <f aca="false">IF($C174="","",ROUND(V174*W174,1))</f>
        <v/>
      </c>
      <c r="Y174" s="27" t="str">
        <f aca="false">IF($C174="","",INDEX(設定!$B$49:$B$53,MATCH(X174,設定!$A$49:$A$53,1)))</f>
        <v/>
      </c>
    </row>
    <row r="175" customFormat="false" ht="15" hidden="false" customHeight="false" outlineLevel="0" collapsed="false">
      <c r="A175" s="23" t="n">
        <v>171</v>
      </c>
      <c r="B175" s="24"/>
      <c r="C175" s="9"/>
      <c r="D175" s="9"/>
      <c r="E175" s="15"/>
      <c r="F175" s="9"/>
      <c r="G175" s="17"/>
      <c r="H175" s="9"/>
      <c r="I175" s="9"/>
      <c r="J175" s="9"/>
      <c r="K175" s="9"/>
      <c r="L175" s="17"/>
      <c r="M175" s="9"/>
      <c r="N175" s="9"/>
      <c r="O175" s="25" t="str">
        <f aca="false">IF($C175="","",IFERROR(INDEX(設定!$B$14:$B$18,MATCH($E175,設定!$A$14:$A$18,0)),0))</f>
        <v/>
      </c>
      <c r="P175" s="25" t="str">
        <f aca="false">IF($C175="","",IF(N($G175)&lt;=1,0,MIN(100,LOG10($G175)/LOG10(設定!$B$43)*100)))</f>
        <v/>
      </c>
      <c r="Q175" s="25" t="str">
        <f aca="false">IF($C175="","",IFERROR(INDEX(設定!$B$21:$B$24,MATCH($H175,設定!$A$21:$A$24,0)),0))</f>
        <v/>
      </c>
      <c r="R175" s="25" t="str">
        <f aca="false">IF($C175="","",IF(設定!$B$45&lt;=0,0,MIN(100,N($I175)/設定!$B$45*100)))</f>
        <v/>
      </c>
      <c r="S175" s="25" t="str">
        <f aca="false">IF($C175="","",IFERROR(INDEX(設定!$B$27:$B$29,MATCH($J175,設定!$A$27:$A$29,0)),0))</f>
        <v/>
      </c>
      <c r="T175" s="25" t="str">
        <f aca="false">IF($C175="","",IFERROR(INDEX(設定!$B$32:$B$35,MATCH($K175,設定!$A$32:$A$35,0)),0))</f>
        <v/>
      </c>
      <c r="U175" s="25" t="str">
        <f aca="false">IF($C175="","",IF(N($L175)&lt;1,0,MIN(100,LOG10($L175+1)/LOG10(設定!$B$44+1)*100)))</f>
        <v/>
      </c>
      <c r="V175" s="25" t="str">
        <f aca="false">IF($C175="","",IF(設定!$B$11=0,0,(O175*設定!$B$4+P175*設定!$B$5+Q175*設定!$B$6+R175*設定!$B$7+S175*設定!$B$8+T175*設定!$B$9+U175*設定!$B$10)/設定!$B$11))</f>
        <v/>
      </c>
      <c r="W175" s="25" t="str">
        <f aca="false">IF($C175="","",IFERROR(INDEX(設定!$B$38:$B$40,MATCH($M175,設定!$A$38:$A$40,0)),1))</f>
        <v/>
      </c>
      <c r="X175" s="26" t="str">
        <f aca="false">IF($C175="","",ROUND(V175*W175,1))</f>
        <v/>
      </c>
      <c r="Y175" s="27" t="str">
        <f aca="false">IF($C175="","",INDEX(設定!$B$49:$B$53,MATCH(X175,設定!$A$49:$A$53,1)))</f>
        <v/>
      </c>
    </row>
    <row r="176" customFormat="false" ht="15" hidden="false" customHeight="false" outlineLevel="0" collapsed="false">
      <c r="A176" s="23" t="n">
        <v>172</v>
      </c>
      <c r="B176" s="24"/>
      <c r="C176" s="9"/>
      <c r="D176" s="9"/>
      <c r="E176" s="15"/>
      <c r="F176" s="9"/>
      <c r="G176" s="17"/>
      <c r="H176" s="9"/>
      <c r="I176" s="9"/>
      <c r="J176" s="9"/>
      <c r="K176" s="9"/>
      <c r="L176" s="17"/>
      <c r="M176" s="9"/>
      <c r="N176" s="9"/>
      <c r="O176" s="25" t="str">
        <f aca="false">IF($C176="","",IFERROR(INDEX(設定!$B$14:$B$18,MATCH($E176,設定!$A$14:$A$18,0)),0))</f>
        <v/>
      </c>
      <c r="P176" s="25" t="str">
        <f aca="false">IF($C176="","",IF(N($G176)&lt;=1,0,MIN(100,LOG10($G176)/LOG10(設定!$B$43)*100)))</f>
        <v/>
      </c>
      <c r="Q176" s="25" t="str">
        <f aca="false">IF($C176="","",IFERROR(INDEX(設定!$B$21:$B$24,MATCH($H176,設定!$A$21:$A$24,0)),0))</f>
        <v/>
      </c>
      <c r="R176" s="25" t="str">
        <f aca="false">IF($C176="","",IF(設定!$B$45&lt;=0,0,MIN(100,N($I176)/設定!$B$45*100)))</f>
        <v/>
      </c>
      <c r="S176" s="25" t="str">
        <f aca="false">IF($C176="","",IFERROR(INDEX(設定!$B$27:$B$29,MATCH($J176,設定!$A$27:$A$29,0)),0))</f>
        <v/>
      </c>
      <c r="T176" s="25" t="str">
        <f aca="false">IF($C176="","",IFERROR(INDEX(設定!$B$32:$B$35,MATCH($K176,設定!$A$32:$A$35,0)),0))</f>
        <v/>
      </c>
      <c r="U176" s="25" t="str">
        <f aca="false">IF($C176="","",IF(N($L176)&lt;1,0,MIN(100,LOG10($L176+1)/LOG10(設定!$B$44+1)*100)))</f>
        <v/>
      </c>
      <c r="V176" s="25" t="str">
        <f aca="false">IF($C176="","",IF(設定!$B$11=0,0,(O176*設定!$B$4+P176*設定!$B$5+Q176*設定!$B$6+R176*設定!$B$7+S176*設定!$B$8+T176*設定!$B$9+U176*設定!$B$10)/設定!$B$11))</f>
        <v/>
      </c>
      <c r="W176" s="25" t="str">
        <f aca="false">IF($C176="","",IFERROR(INDEX(設定!$B$38:$B$40,MATCH($M176,設定!$A$38:$A$40,0)),1))</f>
        <v/>
      </c>
      <c r="X176" s="26" t="str">
        <f aca="false">IF($C176="","",ROUND(V176*W176,1))</f>
        <v/>
      </c>
      <c r="Y176" s="27" t="str">
        <f aca="false">IF($C176="","",INDEX(設定!$B$49:$B$53,MATCH(X176,設定!$A$49:$A$53,1)))</f>
        <v/>
      </c>
    </row>
    <row r="177" customFormat="false" ht="15" hidden="false" customHeight="false" outlineLevel="0" collapsed="false">
      <c r="A177" s="23" t="n">
        <v>173</v>
      </c>
      <c r="B177" s="24"/>
      <c r="C177" s="9"/>
      <c r="D177" s="9"/>
      <c r="E177" s="15"/>
      <c r="F177" s="9"/>
      <c r="G177" s="17"/>
      <c r="H177" s="9"/>
      <c r="I177" s="9"/>
      <c r="J177" s="9"/>
      <c r="K177" s="9"/>
      <c r="L177" s="17"/>
      <c r="M177" s="9"/>
      <c r="N177" s="9"/>
      <c r="O177" s="25" t="str">
        <f aca="false">IF($C177="","",IFERROR(INDEX(設定!$B$14:$B$18,MATCH($E177,設定!$A$14:$A$18,0)),0))</f>
        <v/>
      </c>
      <c r="P177" s="25" t="str">
        <f aca="false">IF($C177="","",IF(N($G177)&lt;=1,0,MIN(100,LOG10($G177)/LOG10(設定!$B$43)*100)))</f>
        <v/>
      </c>
      <c r="Q177" s="25" t="str">
        <f aca="false">IF($C177="","",IFERROR(INDEX(設定!$B$21:$B$24,MATCH($H177,設定!$A$21:$A$24,0)),0))</f>
        <v/>
      </c>
      <c r="R177" s="25" t="str">
        <f aca="false">IF($C177="","",IF(設定!$B$45&lt;=0,0,MIN(100,N($I177)/設定!$B$45*100)))</f>
        <v/>
      </c>
      <c r="S177" s="25" t="str">
        <f aca="false">IF($C177="","",IFERROR(INDEX(設定!$B$27:$B$29,MATCH($J177,設定!$A$27:$A$29,0)),0))</f>
        <v/>
      </c>
      <c r="T177" s="25" t="str">
        <f aca="false">IF($C177="","",IFERROR(INDEX(設定!$B$32:$B$35,MATCH($K177,設定!$A$32:$A$35,0)),0))</f>
        <v/>
      </c>
      <c r="U177" s="25" t="str">
        <f aca="false">IF($C177="","",IF(N($L177)&lt;1,0,MIN(100,LOG10($L177+1)/LOG10(設定!$B$44+1)*100)))</f>
        <v/>
      </c>
      <c r="V177" s="25" t="str">
        <f aca="false">IF($C177="","",IF(設定!$B$11=0,0,(O177*設定!$B$4+P177*設定!$B$5+Q177*設定!$B$6+R177*設定!$B$7+S177*設定!$B$8+T177*設定!$B$9+U177*設定!$B$10)/設定!$B$11))</f>
        <v/>
      </c>
      <c r="W177" s="25" t="str">
        <f aca="false">IF($C177="","",IFERROR(INDEX(設定!$B$38:$B$40,MATCH($M177,設定!$A$38:$A$40,0)),1))</f>
        <v/>
      </c>
      <c r="X177" s="26" t="str">
        <f aca="false">IF($C177="","",ROUND(V177*W177,1))</f>
        <v/>
      </c>
      <c r="Y177" s="27" t="str">
        <f aca="false">IF($C177="","",INDEX(設定!$B$49:$B$53,MATCH(X177,設定!$A$49:$A$53,1)))</f>
        <v/>
      </c>
    </row>
    <row r="178" customFormat="false" ht="15" hidden="false" customHeight="false" outlineLevel="0" collapsed="false">
      <c r="A178" s="23" t="n">
        <v>174</v>
      </c>
      <c r="B178" s="24"/>
      <c r="C178" s="9"/>
      <c r="D178" s="9"/>
      <c r="E178" s="15"/>
      <c r="F178" s="9"/>
      <c r="G178" s="17"/>
      <c r="H178" s="9"/>
      <c r="I178" s="9"/>
      <c r="J178" s="9"/>
      <c r="K178" s="9"/>
      <c r="L178" s="17"/>
      <c r="M178" s="9"/>
      <c r="N178" s="9"/>
      <c r="O178" s="25" t="str">
        <f aca="false">IF($C178="","",IFERROR(INDEX(設定!$B$14:$B$18,MATCH($E178,設定!$A$14:$A$18,0)),0))</f>
        <v/>
      </c>
      <c r="P178" s="25" t="str">
        <f aca="false">IF($C178="","",IF(N($G178)&lt;=1,0,MIN(100,LOG10($G178)/LOG10(設定!$B$43)*100)))</f>
        <v/>
      </c>
      <c r="Q178" s="25" t="str">
        <f aca="false">IF($C178="","",IFERROR(INDEX(設定!$B$21:$B$24,MATCH($H178,設定!$A$21:$A$24,0)),0))</f>
        <v/>
      </c>
      <c r="R178" s="25" t="str">
        <f aca="false">IF($C178="","",IF(設定!$B$45&lt;=0,0,MIN(100,N($I178)/設定!$B$45*100)))</f>
        <v/>
      </c>
      <c r="S178" s="25" t="str">
        <f aca="false">IF($C178="","",IFERROR(INDEX(設定!$B$27:$B$29,MATCH($J178,設定!$A$27:$A$29,0)),0))</f>
        <v/>
      </c>
      <c r="T178" s="25" t="str">
        <f aca="false">IF($C178="","",IFERROR(INDEX(設定!$B$32:$B$35,MATCH($K178,設定!$A$32:$A$35,0)),0))</f>
        <v/>
      </c>
      <c r="U178" s="25" t="str">
        <f aca="false">IF($C178="","",IF(N($L178)&lt;1,0,MIN(100,LOG10($L178+1)/LOG10(設定!$B$44+1)*100)))</f>
        <v/>
      </c>
      <c r="V178" s="25" t="str">
        <f aca="false">IF($C178="","",IF(設定!$B$11=0,0,(O178*設定!$B$4+P178*設定!$B$5+Q178*設定!$B$6+R178*設定!$B$7+S178*設定!$B$8+T178*設定!$B$9+U178*設定!$B$10)/設定!$B$11))</f>
        <v/>
      </c>
      <c r="W178" s="25" t="str">
        <f aca="false">IF($C178="","",IFERROR(INDEX(設定!$B$38:$B$40,MATCH($M178,設定!$A$38:$A$40,0)),1))</f>
        <v/>
      </c>
      <c r="X178" s="26" t="str">
        <f aca="false">IF($C178="","",ROUND(V178*W178,1))</f>
        <v/>
      </c>
      <c r="Y178" s="27" t="str">
        <f aca="false">IF($C178="","",INDEX(設定!$B$49:$B$53,MATCH(X178,設定!$A$49:$A$53,1)))</f>
        <v/>
      </c>
    </row>
    <row r="179" customFormat="false" ht="15" hidden="false" customHeight="false" outlineLevel="0" collapsed="false">
      <c r="A179" s="23" t="n">
        <v>175</v>
      </c>
      <c r="B179" s="24"/>
      <c r="C179" s="9"/>
      <c r="D179" s="9"/>
      <c r="E179" s="15"/>
      <c r="F179" s="9"/>
      <c r="G179" s="17"/>
      <c r="H179" s="9"/>
      <c r="I179" s="9"/>
      <c r="J179" s="9"/>
      <c r="K179" s="9"/>
      <c r="L179" s="17"/>
      <c r="M179" s="9"/>
      <c r="N179" s="9"/>
      <c r="O179" s="25" t="str">
        <f aca="false">IF($C179="","",IFERROR(INDEX(設定!$B$14:$B$18,MATCH($E179,設定!$A$14:$A$18,0)),0))</f>
        <v/>
      </c>
      <c r="P179" s="25" t="str">
        <f aca="false">IF($C179="","",IF(N($G179)&lt;=1,0,MIN(100,LOG10($G179)/LOG10(設定!$B$43)*100)))</f>
        <v/>
      </c>
      <c r="Q179" s="25" t="str">
        <f aca="false">IF($C179="","",IFERROR(INDEX(設定!$B$21:$B$24,MATCH($H179,設定!$A$21:$A$24,0)),0))</f>
        <v/>
      </c>
      <c r="R179" s="25" t="str">
        <f aca="false">IF($C179="","",IF(設定!$B$45&lt;=0,0,MIN(100,N($I179)/設定!$B$45*100)))</f>
        <v/>
      </c>
      <c r="S179" s="25" t="str">
        <f aca="false">IF($C179="","",IFERROR(INDEX(設定!$B$27:$B$29,MATCH($J179,設定!$A$27:$A$29,0)),0))</f>
        <v/>
      </c>
      <c r="T179" s="25" t="str">
        <f aca="false">IF($C179="","",IFERROR(INDEX(設定!$B$32:$B$35,MATCH($K179,設定!$A$32:$A$35,0)),0))</f>
        <v/>
      </c>
      <c r="U179" s="25" t="str">
        <f aca="false">IF($C179="","",IF(N($L179)&lt;1,0,MIN(100,LOG10($L179+1)/LOG10(設定!$B$44+1)*100)))</f>
        <v/>
      </c>
      <c r="V179" s="25" t="str">
        <f aca="false">IF($C179="","",IF(設定!$B$11=0,0,(O179*設定!$B$4+P179*設定!$B$5+Q179*設定!$B$6+R179*設定!$B$7+S179*設定!$B$8+T179*設定!$B$9+U179*設定!$B$10)/設定!$B$11))</f>
        <v/>
      </c>
      <c r="W179" s="25" t="str">
        <f aca="false">IF($C179="","",IFERROR(INDEX(設定!$B$38:$B$40,MATCH($M179,設定!$A$38:$A$40,0)),1))</f>
        <v/>
      </c>
      <c r="X179" s="26" t="str">
        <f aca="false">IF($C179="","",ROUND(V179*W179,1))</f>
        <v/>
      </c>
      <c r="Y179" s="27" t="str">
        <f aca="false">IF($C179="","",INDEX(設定!$B$49:$B$53,MATCH(X179,設定!$A$49:$A$53,1)))</f>
        <v/>
      </c>
    </row>
    <row r="180" customFormat="false" ht="15" hidden="false" customHeight="false" outlineLevel="0" collapsed="false">
      <c r="A180" s="23" t="n">
        <v>176</v>
      </c>
      <c r="B180" s="24"/>
      <c r="C180" s="9"/>
      <c r="D180" s="9"/>
      <c r="E180" s="15"/>
      <c r="F180" s="9"/>
      <c r="G180" s="17"/>
      <c r="H180" s="9"/>
      <c r="I180" s="9"/>
      <c r="J180" s="9"/>
      <c r="K180" s="9"/>
      <c r="L180" s="17"/>
      <c r="M180" s="9"/>
      <c r="N180" s="9"/>
      <c r="O180" s="25" t="str">
        <f aca="false">IF($C180="","",IFERROR(INDEX(設定!$B$14:$B$18,MATCH($E180,設定!$A$14:$A$18,0)),0))</f>
        <v/>
      </c>
      <c r="P180" s="25" t="str">
        <f aca="false">IF($C180="","",IF(N($G180)&lt;=1,0,MIN(100,LOG10($G180)/LOG10(設定!$B$43)*100)))</f>
        <v/>
      </c>
      <c r="Q180" s="25" t="str">
        <f aca="false">IF($C180="","",IFERROR(INDEX(設定!$B$21:$B$24,MATCH($H180,設定!$A$21:$A$24,0)),0))</f>
        <v/>
      </c>
      <c r="R180" s="25" t="str">
        <f aca="false">IF($C180="","",IF(設定!$B$45&lt;=0,0,MIN(100,N($I180)/設定!$B$45*100)))</f>
        <v/>
      </c>
      <c r="S180" s="25" t="str">
        <f aca="false">IF($C180="","",IFERROR(INDEX(設定!$B$27:$B$29,MATCH($J180,設定!$A$27:$A$29,0)),0))</f>
        <v/>
      </c>
      <c r="T180" s="25" t="str">
        <f aca="false">IF($C180="","",IFERROR(INDEX(設定!$B$32:$B$35,MATCH($K180,設定!$A$32:$A$35,0)),0))</f>
        <v/>
      </c>
      <c r="U180" s="25" t="str">
        <f aca="false">IF($C180="","",IF(N($L180)&lt;1,0,MIN(100,LOG10($L180+1)/LOG10(設定!$B$44+1)*100)))</f>
        <v/>
      </c>
      <c r="V180" s="25" t="str">
        <f aca="false">IF($C180="","",IF(設定!$B$11=0,0,(O180*設定!$B$4+P180*設定!$B$5+Q180*設定!$B$6+R180*設定!$B$7+S180*設定!$B$8+T180*設定!$B$9+U180*設定!$B$10)/設定!$B$11))</f>
        <v/>
      </c>
      <c r="W180" s="25" t="str">
        <f aca="false">IF($C180="","",IFERROR(INDEX(設定!$B$38:$B$40,MATCH($M180,設定!$A$38:$A$40,0)),1))</f>
        <v/>
      </c>
      <c r="X180" s="26" t="str">
        <f aca="false">IF($C180="","",ROUND(V180*W180,1))</f>
        <v/>
      </c>
      <c r="Y180" s="27" t="str">
        <f aca="false">IF($C180="","",INDEX(設定!$B$49:$B$53,MATCH(X180,設定!$A$49:$A$53,1)))</f>
        <v/>
      </c>
    </row>
    <row r="181" customFormat="false" ht="15" hidden="false" customHeight="false" outlineLevel="0" collapsed="false">
      <c r="A181" s="23" t="n">
        <v>177</v>
      </c>
      <c r="B181" s="24"/>
      <c r="C181" s="9"/>
      <c r="D181" s="9"/>
      <c r="E181" s="15"/>
      <c r="F181" s="9"/>
      <c r="G181" s="17"/>
      <c r="H181" s="9"/>
      <c r="I181" s="9"/>
      <c r="J181" s="9"/>
      <c r="K181" s="9"/>
      <c r="L181" s="17"/>
      <c r="M181" s="9"/>
      <c r="N181" s="9"/>
      <c r="O181" s="25" t="str">
        <f aca="false">IF($C181="","",IFERROR(INDEX(設定!$B$14:$B$18,MATCH($E181,設定!$A$14:$A$18,0)),0))</f>
        <v/>
      </c>
      <c r="P181" s="25" t="str">
        <f aca="false">IF($C181="","",IF(N($G181)&lt;=1,0,MIN(100,LOG10($G181)/LOG10(設定!$B$43)*100)))</f>
        <v/>
      </c>
      <c r="Q181" s="25" t="str">
        <f aca="false">IF($C181="","",IFERROR(INDEX(設定!$B$21:$B$24,MATCH($H181,設定!$A$21:$A$24,0)),0))</f>
        <v/>
      </c>
      <c r="R181" s="25" t="str">
        <f aca="false">IF($C181="","",IF(設定!$B$45&lt;=0,0,MIN(100,N($I181)/設定!$B$45*100)))</f>
        <v/>
      </c>
      <c r="S181" s="25" t="str">
        <f aca="false">IF($C181="","",IFERROR(INDEX(設定!$B$27:$B$29,MATCH($J181,設定!$A$27:$A$29,0)),0))</f>
        <v/>
      </c>
      <c r="T181" s="25" t="str">
        <f aca="false">IF($C181="","",IFERROR(INDEX(設定!$B$32:$B$35,MATCH($K181,設定!$A$32:$A$35,0)),0))</f>
        <v/>
      </c>
      <c r="U181" s="25" t="str">
        <f aca="false">IF($C181="","",IF(N($L181)&lt;1,0,MIN(100,LOG10($L181+1)/LOG10(設定!$B$44+1)*100)))</f>
        <v/>
      </c>
      <c r="V181" s="25" t="str">
        <f aca="false">IF($C181="","",IF(設定!$B$11=0,0,(O181*設定!$B$4+P181*設定!$B$5+Q181*設定!$B$6+R181*設定!$B$7+S181*設定!$B$8+T181*設定!$B$9+U181*設定!$B$10)/設定!$B$11))</f>
        <v/>
      </c>
      <c r="W181" s="25" t="str">
        <f aca="false">IF($C181="","",IFERROR(INDEX(設定!$B$38:$B$40,MATCH($M181,設定!$A$38:$A$40,0)),1))</f>
        <v/>
      </c>
      <c r="X181" s="26" t="str">
        <f aca="false">IF($C181="","",ROUND(V181*W181,1))</f>
        <v/>
      </c>
      <c r="Y181" s="27" t="str">
        <f aca="false">IF($C181="","",INDEX(設定!$B$49:$B$53,MATCH(X181,設定!$A$49:$A$53,1)))</f>
        <v/>
      </c>
    </row>
    <row r="182" customFormat="false" ht="15" hidden="false" customHeight="false" outlineLevel="0" collapsed="false">
      <c r="A182" s="23" t="n">
        <v>178</v>
      </c>
      <c r="B182" s="24"/>
      <c r="C182" s="9"/>
      <c r="D182" s="9"/>
      <c r="E182" s="15"/>
      <c r="F182" s="9"/>
      <c r="G182" s="17"/>
      <c r="H182" s="9"/>
      <c r="I182" s="9"/>
      <c r="J182" s="9"/>
      <c r="K182" s="9"/>
      <c r="L182" s="17"/>
      <c r="M182" s="9"/>
      <c r="N182" s="9"/>
      <c r="O182" s="25" t="str">
        <f aca="false">IF($C182="","",IFERROR(INDEX(設定!$B$14:$B$18,MATCH($E182,設定!$A$14:$A$18,0)),0))</f>
        <v/>
      </c>
      <c r="P182" s="25" t="str">
        <f aca="false">IF($C182="","",IF(N($G182)&lt;=1,0,MIN(100,LOG10($G182)/LOG10(設定!$B$43)*100)))</f>
        <v/>
      </c>
      <c r="Q182" s="25" t="str">
        <f aca="false">IF($C182="","",IFERROR(INDEX(設定!$B$21:$B$24,MATCH($H182,設定!$A$21:$A$24,0)),0))</f>
        <v/>
      </c>
      <c r="R182" s="25" t="str">
        <f aca="false">IF($C182="","",IF(設定!$B$45&lt;=0,0,MIN(100,N($I182)/設定!$B$45*100)))</f>
        <v/>
      </c>
      <c r="S182" s="25" t="str">
        <f aca="false">IF($C182="","",IFERROR(INDEX(設定!$B$27:$B$29,MATCH($J182,設定!$A$27:$A$29,0)),0))</f>
        <v/>
      </c>
      <c r="T182" s="25" t="str">
        <f aca="false">IF($C182="","",IFERROR(INDEX(設定!$B$32:$B$35,MATCH($K182,設定!$A$32:$A$35,0)),0))</f>
        <v/>
      </c>
      <c r="U182" s="25" t="str">
        <f aca="false">IF($C182="","",IF(N($L182)&lt;1,0,MIN(100,LOG10($L182+1)/LOG10(設定!$B$44+1)*100)))</f>
        <v/>
      </c>
      <c r="V182" s="25" t="str">
        <f aca="false">IF($C182="","",IF(設定!$B$11=0,0,(O182*設定!$B$4+P182*設定!$B$5+Q182*設定!$B$6+R182*設定!$B$7+S182*設定!$B$8+T182*設定!$B$9+U182*設定!$B$10)/設定!$B$11))</f>
        <v/>
      </c>
      <c r="W182" s="25" t="str">
        <f aca="false">IF($C182="","",IFERROR(INDEX(設定!$B$38:$B$40,MATCH($M182,設定!$A$38:$A$40,0)),1))</f>
        <v/>
      </c>
      <c r="X182" s="26" t="str">
        <f aca="false">IF($C182="","",ROUND(V182*W182,1))</f>
        <v/>
      </c>
      <c r="Y182" s="27" t="str">
        <f aca="false">IF($C182="","",INDEX(設定!$B$49:$B$53,MATCH(X182,設定!$A$49:$A$53,1)))</f>
        <v/>
      </c>
    </row>
    <row r="183" customFormat="false" ht="15" hidden="false" customHeight="false" outlineLevel="0" collapsed="false">
      <c r="A183" s="23" t="n">
        <v>179</v>
      </c>
      <c r="B183" s="24"/>
      <c r="C183" s="9"/>
      <c r="D183" s="9"/>
      <c r="E183" s="15"/>
      <c r="F183" s="9"/>
      <c r="G183" s="17"/>
      <c r="H183" s="9"/>
      <c r="I183" s="9"/>
      <c r="J183" s="9"/>
      <c r="K183" s="9"/>
      <c r="L183" s="17"/>
      <c r="M183" s="9"/>
      <c r="N183" s="9"/>
      <c r="O183" s="25" t="str">
        <f aca="false">IF($C183="","",IFERROR(INDEX(設定!$B$14:$B$18,MATCH($E183,設定!$A$14:$A$18,0)),0))</f>
        <v/>
      </c>
      <c r="P183" s="25" t="str">
        <f aca="false">IF($C183="","",IF(N($G183)&lt;=1,0,MIN(100,LOG10($G183)/LOG10(設定!$B$43)*100)))</f>
        <v/>
      </c>
      <c r="Q183" s="25" t="str">
        <f aca="false">IF($C183="","",IFERROR(INDEX(設定!$B$21:$B$24,MATCH($H183,設定!$A$21:$A$24,0)),0))</f>
        <v/>
      </c>
      <c r="R183" s="25" t="str">
        <f aca="false">IF($C183="","",IF(設定!$B$45&lt;=0,0,MIN(100,N($I183)/設定!$B$45*100)))</f>
        <v/>
      </c>
      <c r="S183" s="25" t="str">
        <f aca="false">IF($C183="","",IFERROR(INDEX(設定!$B$27:$B$29,MATCH($J183,設定!$A$27:$A$29,0)),0))</f>
        <v/>
      </c>
      <c r="T183" s="25" t="str">
        <f aca="false">IF($C183="","",IFERROR(INDEX(設定!$B$32:$B$35,MATCH($K183,設定!$A$32:$A$35,0)),0))</f>
        <v/>
      </c>
      <c r="U183" s="25" t="str">
        <f aca="false">IF($C183="","",IF(N($L183)&lt;1,0,MIN(100,LOG10($L183+1)/LOG10(設定!$B$44+1)*100)))</f>
        <v/>
      </c>
      <c r="V183" s="25" t="str">
        <f aca="false">IF($C183="","",IF(設定!$B$11=0,0,(O183*設定!$B$4+P183*設定!$B$5+Q183*設定!$B$6+R183*設定!$B$7+S183*設定!$B$8+T183*設定!$B$9+U183*設定!$B$10)/設定!$B$11))</f>
        <v/>
      </c>
      <c r="W183" s="25" t="str">
        <f aca="false">IF($C183="","",IFERROR(INDEX(設定!$B$38:$B$40,MATCH($M183,設定!$A$38:$A$40,0)),1))</f>
        <v/>
      </c>
      <c r="X183" s="26" t="str">
        <f aca="false">IF($C183="","",ROUND(V183*W183,1))</f>
        <v/>
      </c>
      <c r="Y183" s="27" t="str">
        <f aca="false">IF($C183="","",INDEX(設定!$B$49:$B$53,MATCH(X183,設定!$A$49:$A$53,1)))</f>
        <v/>
      </c>
    </row>
    <row r="184" customFormat="false" ht="15" hidden="false" customHeight="false" outlineLevel="0" collapsed="false">
      <c r="A184" s="23" t="n">
        <v>180</v>
      </c>
      <c r="B184" s="24"/>
      <c r="C184" s="9"/>
      <c r="D184" s="9"/>
      <c r="E184" s="15"/>
      <c r="F184" s="9"/>
      <c r="G184" s="17"/>
      <c r="H184" s="9"/>
      <c r="I184" s="9"/>
      <c r="J184" s="9"/>
      <c r="K184" s="9"/>
      <c r="L184" s="17"/>
      <c r="M184" s="9"/>
      <c r="N184" s="9"/>
      <c r="O184" s="25" t="str">
        <f aca="false">IF($C184="","",IFERROR(INDEX(設定!$B$14:$B$18,MATCH($E184,設定!$A$14:$A$18,0)),0))</f>
        <v/>
      </c>
      <c r="P184" s="25" t="str">
        <f aca="false">IF($C184="","",IF(N($G184)&lt;=1,0,MIN(100,LOG10($G184)/LOG10(設定!$B$43)*100)))</f>
        <v/>
      </c>
      <c r="Q184" s="25" t="str">
        <f aca="false">IF($C184="","",IFERROR(INDEX(設定!$B$21:$B$24,MATCH($H184,設定!$A$21:$A$24,0)),0))</f>
        <v/>
      </c>
      <c r="R184" s="25" t="str">
        <f aca="false">IF($C184="","",IF(設定!$B$45&lt;=0,0,MIN(100,N($I184)/設定!$B$45*100)))</f>
        <v/>
      </c>
      <c r="S184" s="25" t="str">
        <f aca="false">IF($C184="","",IFERROR(INDEX(設定!$B$27:$B$29,MATCH($J184,設定!$A$27:$A$29,0)),0))</f>
        <v/>
      </c>
      <c r="T184" s="25" t="str">
        <f aca="false">IF($C184="","",IFERROR(INDEX(設定!$B$32:$B$35,MATCH($K184,設定!$A$32:$A$35,0)),0))</f>
        <v/>
      </c>
      <c r="U184" s="25" t="str">
        <f aca="false">IF($C184="","",IF(N($L184)&lt;1,0,MIN(100,LOG10($L184+1)/LOG10(設定!$B$44+1)*100)))</f>
        <v/>
      </c>
      <c r="V184" s="25" t="str">
        <f aca="false">IF($C184="","",IF(設定!$B$11=0,0,(O184*設定!$B$4+P184*設定!$B$5+Q184*設定!$B$6+R184*設定!$B$7+S184*設定!$B$8+T184*設定!$B$9+U184*設定!$B$10)/設定!$B$11))</f>
        <v/>
      </c>
      <c r="W184" s="25" t="str">
        <f aca="false">IF($C184="","",IFERROR(INDEX(設定!$B$38:$B$40,MATCH($M184,設定!$A$38:$A$40,0)),1))</f>
        <v/>
      </c>
      <c r="X184" s="26" t="str">
        <f aca="false">IF($C184="","",ROUND(V184*W184,1))</f>
        <v/>
      </c>
      <c r="Y184" s="27" t="str">
        <f aca="false">IF($C184="","",INDEX(設定!$B$49:$B$53,MATCH(X184,設定!$A$49:$A$53,1)))</f>
        <v/>
      </c>
    </row>
    <row r="185" customFormat="false" ht="15" hidden="false" customHeight="false" outlineLevel="0" collapsed="false">
      <c r="A185" s="23" t="n">
        <v>181</v>
      </c>
      <c r="B185" s="24"/>
      <c r="C185" s="9"/>
      <c r="D185" s="9"/>
      <c r="E185" s="15"/>
      <c r="F185" s="9"/>
      <c r="G185" s="17"/>
      <c r="H185" s="9"/>
      <c r="I185" s="9"/>
      <c r="J185" s="9"/>
      <c r="K185" s="9"/>
      <c r="L185" s="17"/>
      <c r="M185" s="9"/>
      <c r="N185" s="9"/>
      <c r="O185" s="25" t="str">
        <f aca="false">IF($C185="","",IFERROR(INDEX(設定!$B$14:$B$18,MATCH($E185,設定!$A$14:$A$18,0)),0))</f>
        <v/>
      </c>
      <c r="P185" s="25" t="str">
        <f aca="false">IF($C185="","",IF(N($G185)&lt;=1,0,MIN(100,LOG10($G185)/LOG10(設定!$B$43)*100)))</f>
        <v/>
      </c>
      <c r="Q185" s="25" t="str">
        <f aca="false">IF($C185="","",IFERROR(INDEX(設定!$B$21:$B$24,MATCH($H185,設定!$A$21:$A$24,0)),0))</f>
        <v/>
      </c>
      <c r="R185" s="25" t="str">
        <f aca="false">IF($C185="","",IF(設定!$B$45&lt;=0,0,MIN(100,N($I185)/設定!$B$45*100)))</f>
        <v/>
      </c>
      <c r="S185" s="25" t="str">
        <f aca="false">IF($C185="","",IFERROR(INDEX(設定!$B$27:$B$29,MATCH($J185,設定!$A$27:$A$29,0)),0))</f>
        <v/>
      </c>
      <c r="T185" s="25" t="str">
        <f aca="false">IF($C185="","",IFERROR(INDEX(設定!$B$32:$B$35,MATCH($K185,設定!$A$32:$A$35,0)),0))</f>
        <v/>
      </c>
      <c r="U185" s="25" t="str">
        <f aca="false">IF($C185="","",IF(N($L185)&lt;1,0,MIN(100,LOG10($L185+1)/LOG10(設定!$B$44+1)*100)))</f>
        <v/>
      </c>
      <c r="V185" s="25" t="str">
        <f aca="false">IF($C185="","",IF(設定!$B$11=0,0,(O185*設定!$B$4+P185*設定!$B$5+Q185*設定!$B$6+R185*設定!$B$7+S185*設定!$B$8+T185*設定!$B$9+U185*設定!$B$10)/設定!$B$11))</f>
        <v/>
      </c>
      <c r="W185" s="25" t="str">
        <f aca="false">IF($C185="","",IFERROR(INDEX(設定!$B$38:$B$40,MATCH($M185,設定!$A$38:$A$40,0)),1))</f>
        <v/>
      </c>
      <c r="X185" s="26" t="str">
        <f aca="false">IF($C185="","",ROUND(V185*W185,1))</f>
        <v/>
      </c>
      <c r="Y185" s="27" t="str">
        <f aca="false">IF($C185="","",INDEX(設定!$B$49:$B$53,MATCH(X185,設定!$A$49:$A$53,1)))</f>
        <v/>
      </c>
    </row>
    <row r="186" customFormat="false" ht="15" hidden="false" customHeight="false" outlineLevel="0" collapsed="false">
      <c r="A186" s="23" t="n">
        <v>182</v>
      </c>
      <c r="B186" s="24"/>
      <c r="C186" s="9"/>
      <c r="D186" s="9"/>
      <c r="E186" s="15"/>
      <c r="F186" s="9"/>
      <c r="G186" s="17"/>
      <c r="H186" s="9"/>
      <c r="I186" s="9"/>
      <c r="J186" s="9"/>
      <c r="K186" s="9"/>
      <c r="L186" s="17"/>
      <c r="M186" s="9"/>
      <c r="N186" s="9"/>
      <c r="O186" s="25" t="str">
        <f aca="false">IF($C186="","",IFERROR(INDEX(設定!$B$14:$B$18,MATCH($E186,設定!$A$14:$A$18,0)),0))</f>
        <v/>
      </c>
      <c r="P186" s="25" t="str">
        <f aca="false">IF($C186="","",IF(N($G186)&lt;=1,0,MIN(100,LOG10($G186)/LOG10(設定!$B$43)*100)))</f>
        <v/>
      </c>
      <c r="Q186" s="25" t="str">
        <f aca="false">IF($C186="","",IFERROR(INDEX(設定!$B$21:$B$24,MATCH($H186,設定!$A$21:$A$24,0)),0))</f>
        <v/>
      </c>
      <c r="R186" s="25" t="str">
        <f aca="false">IF($C186="","",IF(設定!$B$45&lt;=0,0,MIN(100,N($I186)/設定!$B$45*100)))</f>
        <v/>
      </c>
      <c r="S186" s="25" t="str">
        <f aca="false">IF($C186="","",IFERROR(INDEX(設定!$B$27:$B$29,MATCH($J186,設定!$A$27:$A$29,0)),0))</f>
        <v/>
      </c>
      <c r="T186" s="25" t="str">
        <f aca="false">IF($C186="","",IFERROR(INDEX(設定!$B$32:$B$35,MATCH($K186,設定!$A$32:$A$35,0)),0))</f>
        <v/>
      </c>
      <c r="U186" s="25" t="str">
        <f aca="false">IF($C186="","",IF(N($L186)&lt;1,0,MIN(100,LOG10($L186+1)/LOG10(設定!$B$44+1)*100)))</f>
        <v/>
      </c>
      <c r="V186" s="25" t="str">
        <f aca="false">IF($C186="","",IF(設定!$B$11=0,0,(O186*設定!$B$4+P186*設定!$B$5+Q186*設定!$B$6+R186*設定!$B$7+S186*設定!$B$8+T186*設定!$B$9+U186*設定!$B$10)/設定!$B$11))</f>
        <v/>
      </c>
      <c r="W186" s="25" t="str">
        <f aca="false">IF($C186="","",IFERROR(INDEX(設定!$B$38:$B$40,MATCH($M186,設定!$A$38:$A$40,0)),1))</f>
        <v/>
      </c>
      <c r="X186" s="26" t="str">
        <f aca="false">IF($C186="","",ROUND(V186*W186,1))</f>
        <v/>
      </c>
      <c r="Y186" s="27" t="str">
        <f aca="false">IF($C186="","",INDEX(設定!$B$49:$B$53,MATCH(X186,設定!$A$49:$A$53,1)))</f>
        <v/>
      </c>
    </row>
    <row r="187" customFormat="false" ht="15" hidden="false" customHeight="false" outlineLevel="0" collapsed="false">
      <c r="A187" s="23" t="n">
        <v>183</v>
      </c>
      <c r="B187" s="24"/>
      <c r="C187" s="9"/>
      <c r="D187" s="9"/>
      <c r="E187" s="15"/>
      <c r="F187" s="9"/>
      <c r="G187" s="17"/>
      <c r="H187" s="9"/>
      <c r="I187" s="9"/>
      <c r="J187" s="9"/>
      <c r="K187" s="9"/>
      <c r="L187" s="17"/>
      <c r="M187" s="9"/>
      <c r="N187" s="9"/>
      <c r="O187" s="25" t="str">
        <f aca="false">IF($C187="","",IFERROR(INDEX(設定!$B$14:$B$18,MATCH($E187,設定!$A$14:$A$18,0)),0))</f>
        <v/>
      </c>
      <c r="P187" s="25" t="str">
        <f aca="false">IF($C187="","",IF(N($G187)&lt;=1,0,MIN(100,LOG10($G187)/LOG10(設定!$B$43)*100)))</f>
        <v/>
      </c>
      <c r="Q187" s="25" t="str">
        <f aca="false">IF($C187="","",IFERROR(INDEX(設定!$B$21:$B$24,MATCH($H187,設定!$A$21:$A$24,0)),0))</f>
        <v/>
      </c>
      <c r="R187" s="25" t="str">
        <f aca="false">IF($C187="","",IF(設定!$B$45&lt;=0,0,MIN(100,N($I187)/設定!$B$45*100)))</f>
        <v/>
      </c>
      <c r="S187" s="25" t="str">
        <f aca="false">IF($C187="","",IFERROR(INDEX(設定!$B$27:$B$29,MATCH($J187,設定!$A$27:$A$29,0)),0))</f>
        <v/>
      </c>
      <c r="T187" s="25" t="str">
        <f aca="false">IF($C187="","",IFERROR(INDEX(設定!$B$32:$B$35,MATCH($K187,設定!$A$32:$A$35,0)),0))</f>
        <v/>
      </c>
      <c r="U187" s="25" t="str">
        <f aca="false">IF($C187="","",IF(N($L187)&lt;1,0,MIN(100,LOG10($L187+1)/LOG10(設定!$B$44+1)*100)))</f>
        <v/>
      </c>
      <c r="V187" s="25" t="str">
        <f aca="false">IF($C187="","",IF(設定!$B$11=0,0,(O187*設定!$B$4+P187*設定!$B$5+Q187*設定!$B$6+R187*設定!$B$7+S187*設定!$B$8+T187*設定!$B$9+U187*設定!$B$10)/設定!$B$11))</f>
        <v/>
      </c>
      <c r="W187" s="25" t="str">
        <f aca="false">IF($C187="","",IFERROR(INDEX(設定!$B$38:$B$40,MATCH($M187,設定!$A$38:$A$40,0)),1))</f>
        <v/>
      </c>
      <c r="X187" s="26" t="str">
        <f aca="false">IF($C187="","",ROUND(V187*W187,1))</f>
        <v/>
      </c>
      <c r="Y187" s="27" t="str">
        <f aca="false">IF($C187="","",INDEX(設定!$B$49:$B$53,MATCH(X187,設定!$A$49:$A$53,1)))</f>
        <v/>
      </c>
    </row>
    <row r="188" customFormat="false" ht="15" hidden="false" customHeight="false" outlineLevel="0" collapsed="false">
      <c r="A188" s="23" t="n">
        <v>184</v>
      </c>
      <c r="B188" s="24"/>
      <c r="C188" s="9"/>
      <c r="D188" s="9"/>
      <c r="E188" s="15"/>
      <c r="F188" s="9"/>
      <c r="G188" s="17"/>
      <c r="H188" s="9"/>
      <c r="I188" s="9"/>
      <c r="J188" s="9"/>
      <c r="K188" s="9"/>
      <c r="L188" s="17"/>
      <c r="M188" s="9"/>
      <c r="N188" s="9"/>
      <c r="O188" s="25" t="str">
        <f aca="false">IF($C188="","",IFERROR(INDEX(設定!$B$14:$B$18,MATCH($E188,設定!$A$14:$A$18,0)),0))</f>
        <v/>
      </c>
      <c r="P188" s="25" t="str">
        <f aca="false">IF($C188="","",IF(N($G188)&lt;=1,0,MIN(100,LOG10($G188)/LOG10(設定!$B$43)*100)))</f>
        <v/>
      </c>
      <c r="Q188" s="25" t="str">
        <f aca="false">IF($C188="","",IFERROR(INDEX(設定!$B$21:$B$24,MATCH($H188,設定!$A$21:$A$24,0)),0))</f>
        <v/>
      </c>
      <c r="R188" s="25" t="str">
        <f aca="false">IF($C188="","",IF(設定!$B$45&lt;=0,0,MIN(100,N($I188)/設定!$B$45*100)))</f>
        <v/>
      </c>
      <c r="S188" s="25" t="str">
        <f aca="false">IF($C188="","",IFERROR(INDEX(設定!$B$27:$B$29,MATCH($J188,設定!$A$27:$A$29,0)),0))</f>
        <v/>
      </c>
      <c r="T188" s="25" t="str">
        <f aca="false">IF($C188="","",IFERROR(INDEX(設定!$B$32:$B$35,MATCH($K188,設定!$A$32:$A$35,0)),0))</f>
        <v/>
      </c>
      <c r="U188" s="25" t="str">
        <f aca="false">IF($C188="","",IF(N($L188)&lt;1,0,MIN(100,LOG10($L188+1)/LOG10(設定!$B$44+1)*100)))</f>
        <v/>
      </c>
      <c r="V188" s="25" t="str">
        <f aca="false">IF($C188="","",IF(設定!$B$11=0,0,(O188*設定!$B$4+P188*設定!$B$5+Q188*設定!$B$6+R188*設定!$B$7+S188*設定!$B$8+T188*設定!$B$9+U188*設定!$B$10)/設定!$B$11))</f>
        <v/>
      </c>
      <c r="W188" s="25" t="str">
        <f aca="false">IF($C188="","",IFERROR(INDEX(設定!$B$38:$B$40,MATCH($M188,設定!$A$38:$A$40,0)),1))</f>
        <v/>
      </c>
      <c r="X188" s="26" t="str">
        <f aca="false">IF($C188="","",ROUND(V188*W188,1))</f>
        <v/>
      </c>
      <c r="Y188" s="27" t="str">
        <f aca="false">IF($C188="","",INDEX(設定!$B$49:$B$53,MATCH(X188,設定!$A$49:$A$53,1)))</f>
        <v/>
      </c>
    </row>
    <row r="189" customFormat="false" ht="15" hidden="false" customHeight="false" outlineLevel="0" collapsed="false">
      <c r="A189" s="23" t="n">
        <v>185</v>
      </c>
      <c r="B189" s="24"/>
      <c r="C189" s="9"/>
      <c r="D189" s="9"/>
      <c r="E189" s="15"/>
      <c r="F189" s="9"/>
      <c r="G189" s="17"/>
      <c r="H189" s="9"/>
      <c r="I189" s="9"/>
      <c r="J189" s="9"/>
      <c r="K189" s="9"/>
      <c r="L189" s="17"/>
      <c r="M189" s="9"/>
      <c r="N189" s="9"/>
      <c r="O189" s="25" t="str">
        <f aca="false">IF($C189="","",IFERROR(INDEX(設定!$B$14:$B$18,MATCH($E189,設定!$A$14:$A$18,0)),0))</f>
        <v/>
      </c>
      <c r="P189" s="25" t="str">
        <f aca="false">IF($C189="","",IF(N($G189)&lt;=1,0,MIN(100,LOG10($G189)/LOG10(設定!$B$43)*100)))</f>
        <v/>
      </c>
      <c r="Q189" s="25" t="str">
        <f aca="false">IF($C189="","",IFERROR(INDEX(設定!$B$21:$B$24,MATCH($H189,設定!$A$21:$A$24,0)),0))</f>
        <v/>
      </c>
      <c r="R189" s="25" t="str">
        <f aca="false">IF($C189="","",IF(設定!$B$45&lt;=0,0,MIN(100,N($I189)/設定!$B$45*100)))</f>
        <v/>
      </c>
      <c r="S189" s="25" t="str">
        <f aca="false">IF($C189="","",IFERROR(INDEX(設定!$B$27:$B$29,MATCH($J189,設定!$A$27:$A$29,0)),0))</f>
        <v/>
      </c>
      <c r="T189" s="25" t="str">
        <f aca="false">IF($C189="","",IFERROR(INDEX(設定!$B$32:$B$35,MATCH($K189,設定!$A$32:$A$35,0)),0))</f>
        <v/>
      </c>
      <c r="U189" s="25" t="str">
        <f aca="false">IF($C189="","",IF(N($L189)&lt;1,0,MIN(100,LOG10($L189+1)/LOG10(設定!$B$44+1)*100)))</f>
        <v/>
      </c>
      <c r="V189" s="25" t="str">
        <f aca="false">IF($C189="","",IF(設定!$B$11=0,0,(O189*設定!$B$4+P189*設定!$B$5+Q189*設定!$B$6+R189*設定!$B$7+S189*設定!$B$8+T189*設定!$B$9+U189*設定!$B$10)/設定!$B$11))</f>
        <v/>
      </c>
      <c r="W189" s="25" t="str">
        <f aca="false">IF($C189="","",IFERROR(INDEX(設定!$B$38:$B$40,MATCH($M189,設定!$A$38:$A$40,0)),1))</f>
        <v/>
      </c>
      <c r="X189" s="26" t="str">
        <f aca="false">IF($C189="","",ROUND(V189*W189,1))</f>
        <v/>
      </c>
      <c r="Y189" s="27" t="str">
        <f aca="false">IF($C189="","",INDEX(設定!$B$49:$B$53,MATCH(X189,設定!$A$49:$A$53,1)))</f>
        <v/>
      </c>
    </row>
    <row r="190" customFormat="false" ht="15" hidden="false" customHeight="false" outlineLevel="0" collapsed="false">
      <c r="A190" s="23" t="n">
        <v>186</v>
      </c>
      <c r="B190" s="24"/>
      <c r="C190" s="9"/>
      <c r="D190" s="9"/>
      <c r="E190" s="15"/>
      <c r="F190" s="9"/>
      <c r="G190" s="17"/>
      <c r="H190" s="9"/>
      <c r="I190" s="9"/>
      <c r="J190" s="9"/>
      <c r="K190" s="9"/>
      <c r="L190" s="17"/>
      <c r="M190" s="9"/>
      <c r="N190" s="9"/>
      <c r="O190" s="25" t="str">
        <f aca="false">IF($C190="","",IFERROR(INDEX(設定!$B$14:$B$18,MATCH($E190,設定!$A$14:$A$18,0)),0))</f>
        <v/>
      </c>
      <c r="P190" s="25" t="str">
        <f aca="false">IF($C190="","",IF(N($G190)&lt;=1,0,MIN(100,LOG10($G190)/LOG10(設定!$B$43)*100)))</f>
        <v/>
      </c>
      <c r="Q190" s="25" t="str">
        <f aca="false">IF($C190="","",IFERROR(INDEX(設定!$B$21:$B$24,MATCH($H190,設定!$A$21:$A$24,0)),0))</f>
        <v/>
      </c>
      <c r="R190" s="25" t="str">
        <f aca="false">IF($C190="","",IF(設定!$B$45&lt;=0,0,MIN(100,N($I190)/設定!$B$45*100)))</f>
        <v/>
      </c>
      <c r="S190" s="25" t="str">
        <f aca="false">IF($C190="","",IFERROR(INDEX(設定!$B$27:$B$29,MATCH($J190,設定!$A$27:$A$29,0)),0))</f>
        <v/>
      </c>
      <c r="T190" s="25" t="str">
        <f aca="false">IF($C190="","",IFERROR(INDEX(設定!$B$32:$B$35,MATCH($K190,設定!$A$32:$A$35,0)),0))</f>
        <v/>
      </c>
      <c r="U190" s="25" t="str">
        <f aca="false">IF($C190="","",IF(N($L190)&lt;1,0,MIN(100,LOG10($L190+1)/LOG10(設定!$B$44+1)*100)))</f>
        <v/>
      </c>
      <c r="V190" s="25" t="str">
        <f aca="false">IF($C190="","",IF(設定!$B$11=0,0,(O190*設定!$B$4+P190*設定!$B$5+Q190*設定!$B$6+R190*設定!$B$7+S190*設定!$B$8+T190*設定!$B$9+U190*設定!$B$10)/設定!$B$11))</f>
        <v/>
      </c>
      <c r="W190" s="25" t="str">
        <f aca="false">IF($C190="","",IFERROR(INDEX(設定!$B$38:$B$40,MATCH($M190,設定!$A$38:$A$40,0)),1))</f>
        <v/>
      </c>
      <c r="X190" s="26" t="str">
        <f aca="false">IF($C190="","",ROUND(V190*W190,1))</f>
        <v/>
      </c>
      <c r="Y190" s="27" t="str">
        <f aca="false">IF($C190="","",INDEX(設定!$B$49:$B$53,MATCH(X190,設定!$A$49:$A$53,1)))</f>
        <v/>
      </c>
    </row>
    <row r="191" customFormat="false" ht="15" hidden="false" customHeight="false" outlineLevel="0" collapsed="false">
      <c r="A191" s="23" t="n">
        <v>187</v>
      </c>
      <c r="B191" s="24"/>
      <c r="C191" s="9"/>
      <c r="D191" s="9"/>
      <c r="E191" s="15"/>
      <c r="F191" s="9"/>
      <c r="G191" s="17"/>
      <c r="H191" s="9"/>
      <c r="I191" s="9"/>
      <c r="J191" s="9"/>
      <c r="K191" s="9"/>
      <c r="L191" s="17"/>
      <c r="M191" s="9"/>
      <c r="N191" s="9"/>
      <c r="O191" s="25" t="str">
        <f aca="false">IF($C191="","",IFERROR(INDEX(設定!$B$14:$B$18,MATCH($E191,設定!$A$14:$A$18,0)),0))</f>
        <v/>
      </c>
      <c r="P191" s="25" t="str">
        <f aca="false">IF($C191="","",IF(N($G191)&lt;=1,0,MIN(100,LOG10($G191)/LOG10(設定!$B$43)*100)))</f>
        <v/>
      </c>
      <c r="Q191" s="25" t="str">
        <f aca="false">IF($C191="","",IFERROR(INDEX(設定!$B$21:$B$24,MATCH($H191,設定!$A$21:$A$24,0)),0))</f>
        <v/>
      </c>
      <c r="R191" s="25" t="str">
        <f aca="false">IF($C191="","",IF(設定!$B$45&lt;=0,0,MIN(100,N($I191)/設定!$B$45*100)))</f>
        <v/>
      </c>
      <c r="S191" s="25" t="str">
        <f aca="false">IF($C191="","",IFERROR(INDEX(設定!$B$27:$B$29,MATCH($J191,設定!$A$27:$A$29,0)),0))</f>
        <v/>
      </c>
      <c r="T191" s="25" t="str">
        <f aca="false">IF($C191="","",IFERROR(INDEX(設定!$B$32:$B$35,MATCH($K191,設定!$A$32:$A$35,0)),0))</f>
        <v/>
      </c>
      <c r="U191" s="25" t="str">
        <f aca="false">IF($C191="","",IF(N($L191)&lt;1,0,MIN(100,LOG10($L191+1)/LOG10(設定!$B$44+1)*100)))</f>
        <v/>
      </c>
      <c r="V191" s="25" t="str">
        <f aca="false">IF($C191="","",IF(設定!$B$11=0,0,(O191*設定!$B$4+P191*設定!$B$5+Q191*設定!$B$6+R191*設定!$B$7+S191*設定!$B$8+T191*設定!$B$9+U191*設定!$B$10)/設定!$B$11))</f>
        <v/>
      </c>
      <c r="W191" s="25" t="str">
        <f aca="false">IF($C191="","",IFERROR(INDEX(設定!$B$38:$B$40,MATCH($M191,設定!$A$38:$A$40,0)),1))</f>
        <v/>
      </c>
      <c r="X191" s="26" t="str">
        <f aca="false">IF($C191="","",ROUND(V191*W191,1))</f>
        <v/>
      </c>
      <c r="Y191" s="27" t="str">
        <f aca="false">IF($C191="","",INDEX(設定!$B$49:$B$53,MATCH(X191,設定!$A$49:$A$53,1)))</f>
        <v/>
      </c>
    </row>
    <row r="192" customFormat="false" ht="15" hidden="false" customHeight="false" outlineLevel="0" collapsed="false">
      <c r="A192" s="23" t="n">
        <v>188</v>
      </c>
      <c r="B192" s="24"/>
      <c r="C192" s="9"/>
      <c r="D192" s="9"/>
      <c r="E192" s="15"/>
      <c r="F192" s="9"/>
      <c r="G192" s="17"/>
      <c r="H192" s="9"/>
      <c r="I192" s="9"/>
      <c r="J192" s="9"/>
      <c r="K192" s="9"/>
      <c r="L192" s="17"/>
      <c r="M192" s="9"/>
      <c r="N192" s="9"/>
      <c r="O192" s="25" t="str">
        <f aca="false">IF($C192="","",IFERROR(INDEX(設定!$B$14:$B$18,MATCH($E192,設定!$A$14:$A$18,0)),0))</f>
        <v/>
      </c>
      <c r="P192" s="25" t="str">
        <f aca="false">IF($C192="","",IF(N($G192)&lt;=1,0,MIN(100,LOG10($G192)/LOG10(設定!$B$43)*100)))</f>
        <v/>
      </c>
      <c r="Q192" s="25" t="str">
        <f aca="false">IF($C192="","",IFERROR(INDEX(設定!$B$21:$B$24,MATCH($H192,設定!$A$21:$A$24,0)),0))</f>
        <v/>
      </c>
      <c r="R192" s="25" t="str">
        <f aca="false">IF($C192="","",IF(設定!$B$45&lt;=0,0,MIN(100,N($I192)/設定!$B$45*100)))</f>
        <v/>
      </c>
      <c r="S192" s="25" t="str">
        <f aca="false">IF($C192="","",IFERROR(INDEX(設定!$B$27:$B$29,MATCH($J192,設定!$A$27:$A$29,0)),0))</f>
        <v/>
      </c>
      <c r="T192" s="25" t="str">
        <f aca="false">IF($C192="","",IFERROR(INDEX(設定!$B$32:$B$35,MATCH($K192,設定!$A$32:$A$35,0)),0))</f>
        <v/>
      </c>
      <c r="U192" s="25" t="str">
        <f aca="false">IF($C192="","",IF(N($L192)&lt;1,0,MIN(100,LOG10($L192+1)/LOG10(設定!$B$44+1)*100)))</f>
        <v/>
      </c>
      <c r="V192" s="25" t="str">
        <f aca="false">IF($C192="","",IF(設定!$B$11=0,0,(O192*設定!$B$4+P192*設定!$B$5+Q192*設定!$B$6+R192*設定!$B$7+S192*設定!$B$8+T192*設定!$B$9+U192*設定!$B$10)/設定!$B$11))</f>
        <v/>
      </c>
      <c r="W192" s="25" t="str">
        <f aca="false">IF($C192="","",IFERROR(INDEX(設定!$B$38:$B$40,MATCH($M192,設定!$A$38:$A$40,0)),1))</f>
        <v/>
      </c>
      <c r="X192" s="26" t="str">
        <f aca="false">IF($C192="","",ROUND(V192*W192,1))</f>
        <v/>
      </c>
      <c r="Y192" s="27" t="str">
        <f aca="false">IF($C192="","",INDEX(設定!$B$49:$B$53,MATCH(X192,設定!$A$49:$A$53,1)))</f>
        <v/>
      </c>
    </row>
    <row r="193" customFormat="false" ht="15" hidden="false" customHeight="false" outlineLevel="0" collapsed="false">
      <c r="A193" s="23" t="n">
        <v>189</v>
      </c>
      <c r="B193" s="24"/>
      <c r="C193" s="9"/>
      <c r="D193" s="9"/>
      <c r="E193" s="15"/>
      <c r="F193" s="9"/>
      <c r="G193" s="17"/>
      <c r="H193" s="9"/>
      <c r="I193" s="9"/>
      <c r="J193" s="9"/>
      <c r="K193" s="9"/>
      <c r="L193" s="17"/>
      <c r="M193" s="9"/>
      <c r="N193" s="9"/>
      <c r="O193" s="25" t="str">
        <f aca="false">IF($C193="","",IFERROR(INDEX(設定!$B$14:$B$18,MATCH($E193,設定!$A$14:$A$18,0)),0))</f>
        <v/>
      </c>
      <c r="P193" s="25" t="str">
        <f aca="false">IF($C193="","",IF(N($G193)&lt;=1,0,MIN(100,LOG10($G193)/LOG10(設定!$B$43)*100)))</f>
        <v/>
      </c>
      <c r="Q193" s="25" t="str">
        <f aca="false">IF($C193="","",IFERROR(INDEX(設定!$B$21:$B$24,MATCH($H193,設定!$A$21:$A$24,0)),0))</f>
        <v/>
      </c>
      <c r="R193" s="25" t="str">
        <f aca="false">IF($C193="","",IF(設定!$B$45&lt;=0,0,MIN(100,N($I193)/設定!$B$45*100)))</f>
        <v/>
      </c>
      <c r="S193" s="25" t="str">
        <f aca="false">IF($C193="","",IFERROR(INDEX(設定!$B$27:$B$29,MATCH($J193,設定!$A$27:$A$29,0)),0))</f>
        <v/>
      </c>
      <c r="T193" s="25" t="str">
        <f aca="false">IF($C193="","",IFERROR(INDEX(設定!$B$32:$B$35,MATCH($K193,設定!$A$32:$A$35,0)),0))</f>
        <v/>
      </c>
      <c r="U193" s="25" t="str">
        <f aca="false">IF($C193="","",IF(N($L193)&lt;1,0,MIN(100,LOG10($L193+1)/LOG10(設定!$B$44+1)*100)))</f>
        <v/>
      </c>
      <c r="V193" s="25" t="str">
        <f aca="false">IF($C193="","",IF(設定!$B$11=0,0,(O193*設定!$B$4+P193*設定!$B$5+Q193*設定!$B$6+R193*設定!$B$7+S193*設定!$B$8+T193*設定!$B$9+U193*設定!$B$10)/設定!$B$11))</f>
        <v/>
      </c>
      <c r="W193" s="25" t="str">
        <f aca="false">IF($C193="","",IFERROR(INDEX(設定!$B$38:$B$40,MATCH($M193,設定!$A$38:$A$40,0)),1))</f>
        <v/>
      </c>
      <c r="X193" s="26" t="str">
        <f aca="false">IF($C193="","",ROUND(V193*W193,1))</f>
        <v/>
      </c>
      <c r="Y193" s="27" t="str">
        <f aca="false">IF($C193="","",INDEX(設定!$B$49:$B$53,MATCH(X193,設定!$A$49:$A$53,1)))</f>
        <v/>
      </c>
    </row>
    <row r="194" customFormat="false" ht="15" hidden="false" customHeight="false" outlineLevel="0" collapsed="false">
      <c r="A194" s="23" t="n">
        <v>190</v>
      </c>
      <c r="B194" s="24"/>
      <c r="C194" s="9"/>
      <c r="D194" s="9"/>
      <c r="E194" s="15"/>
      <c r="F194" s="9"/>
      <c r="G194" s="17"/>
      <c r="H194" s="9"/>
      <c r="I194" s="9"/>
      <c r="J194" s="9"/>
      <c r="K194" s="9"/>
      <c r="L194" s="17"/>
      <c r="M194" s="9"/>
      <c r="N194" s="9"/>
      <c r="O194" s="25" t="str">
        <f aca="false">IF($C194="","",IFERROR(INDEX(設定!$B$14:$B$18,MATCH($E194,設定!$A$14:$A$18,0)),0))</f>
        <v/>
      </c>
      <c r="P194" s="25" t="str">
        <f aca="false">IF($C194="","",IF(N($G194)&lt;=1,0,MIN(100,LOG10($G194)/LOG10(設定!$B$43)*100)))</f>
        <v/>
      </c>
      <c r="Q194" s="25" t="str">
        <f aca="false">IF($C194="","",IFERROR(INDEX(設定!$B$21:$B$24,MATCH($H194,設定!$A$21:$A$24,0)),0))</f>
        <v/>
      </c>
      <c r="R194" s="25" t="str">
        <f aca="false">IF($C194="","",IF(設定!$B$45&lt;=0,0,MIN(100,N($I194)/設定!$B$45*100)))</f>
        <v/>
      </c>
      <c r="S194" s="25" t="str">
        <f aca="false">IF($C194="","",IFERROR(INDEX(設定!$B$27:$B$29,MATCH($J194,設定!$A$27:$A$29,0)),0))</f>
        <v/>
      </c>
      <c r="T194" s="25" t="str">
        <f aca="false">IF($C194="","",IFERROR(INDEX(設定!$B$32:$B$35,MATCH($K194,設定!$A$32:$A$35,0)),0))</f>
        <v/>
      </c>
      <c r="U194" s="25" t="str">
        <f aca="false">IF($C194="","",IF(N($L194)&lt;1,0,MIN(100,LOG10($L194+1)/LOG10(設定!$B$44+1)*100)))</f>
        <v/>
      </c>
      <c r="V194" s="25" t="str">
        <f aca="false">IF($C194="","",IF(設定!$B$11=0,0,(O194*設定!$B$4+P194*設定!$B$5+Q194*設定!$B$6+R194*設定!$B$7+S194*設定!$B$8+T194*設定!$B$9+U194*設定!$B$10)/設定!$B$11))</f>
        <v/>
      </c>
      <c r="W194" s="25" t="str">
        <f aca="false">IF($C194="","",IFERROR(INDEX(設定!$B$38:$B$40,MATCH($M194,設定!$A$38:$A$40,0)),1))</f>
        <v/>
      </c>
      <c r="X194" s="26" t="str">
        <f aca="false">IF($C194="","",ROUND(V194*W194,1))</f>
        <v/>
      </c>
      <c r="Y194" s="27" t="str">
        <f aca="false">IF($C194="","",INDEX(設定!$B$49:$B$53,MATCH(X194,設定!$A$49:$A$53,1)))</f>
        <v/>
      </c>
    </row>
    <row r="195" customFormat="false" ht="15" hidden="false" customHeight="false" outlineLevel="0" collapsed="false">
      <c r="A195" s="23" t="n">
        <v>191</v>
      </c>
      <c r="B195" s="24"/>
      <c r="C195" s="9"/>
      <c r="D195" s="9"/>
      <c r="E195" s="15"/>
      <c r="F195" s="9"/>
      <c r="G195" s="17"/>
      <c r="H195" s="9"/>
      <c r="I195" s="9"/>
      <c r="J195" s="9"/>
      <c r="K195" s="9"/>
      <c r="L195" s="17"/>
      <c r="M195" s="9"/>
      <c r="N195" s="9"/>
      <c r="O195" s="25" t="str">
        <f aca="false">IF($C195="","",IFERROR(INDEX(設定!$B$14:$B$18,MATCH($E195,設定!$A$14:$A$18,0)),0))</f>
        <v/>
      </c>
      <c r="P195" s="25" t="str">
        <f aca="false">IF($C195="","",IF(N($G195)&lt;=1,0,MIN(100,LOG10($G195)/LOG10(設定!$B$43)*100)))</f>
        <v/>
      </c>
      <c r="Q195" s="25" t="str">
        <f aca="false">IF($C195="","",IFERROR(INDEX(設定!$B$21:$B$24,MATCH($H195,設定!$A$21:$A$24,0)),0))</f>
        <v/>
      </c>
      <c r="R195" s="25" t="str">
        <f aca="false">IF($C195="","",IF(設定!$B$45&lt;=0,0,MIN(100,N($I195)/設定!$B$45*100)))</f>
        <v/>
      </c>
      <c r="S195" s="25" t="str">
        <f aca="false">IF($C195="","",IFERROR(INDEX(設定!$B$27:$B$29,MATCH($J195,設定!$A$27:$A$29,0)),0))</f>
        <v/>
      </c>
      <c r="T195" s="25" t="str">
        <f aca="false">IF($C195="","",IFERROR(INDEX(設定!$B$32:$B$35,MATCH($K195,設定!$A$32:$A$35,0)),0))</f>
        <v/>
      </c>
      <c r="U195" s="25" t="str">
        <f aca="false">IF($C195="","",IF(N($L195)&lt;1,0,MIN(100,LOG10($L195+1)/LOG10(設定!$B$44+1)*100)))</f>
        <v/>
      </c>
      <c r="V195" s="25" t="str">
        <f aca="false">IF($C195="","",IF(設定!$B$11=0,0,(O195*設定!$B$4+P195*設定!$B$5+Q195*設定!$B$6+R195*設定!$B$7+S195*設定!$B$8+T195*設定!$B$9+U195*設定!$B$10)/設定!$B$11))</f>
        <v/>
      </c>
      <c r="W195" s="25" t="str">
        <f aca="false">IF($C195="","",IFERROR(INDEX(設定!$B$38:$B$40,MATCH($M195,設定!$A$38:$A$40,0)),1))</f>
        <v/>
      </c>
      <c r="X195" s="26" t="str">
        <f aca="false">IF($C195="","",ROUND(V195*W195,1))</f>
        <v/>
      </c>
      <c r="Y195" s="27" t="str">
        <f aca="false">IF($C195="","",INDEX(設定!$B$49:$B$53,MATCH(X195,設定!$A$49:$A$53,1)))</f>
        <v/>
      </c>
    </row>
    <row r="196" customFormat="false" ht="15" hidden="false" customHeight="false" outlineLevel="0" collapsed="false">
      <c r="A196" s="23" t="n">
        <v>192</v>
      </c>
      <c r="B196" s="24"/>
      <c r="C196" s="9"/>
      <c r="D196" s="9"/>
      <c r="E196" s="15"/>
      <c r="F196" s="9"/>
      <c r="G196" s="17"/>
      <c r="H196" s="9"/>
      <c r="I196" s="9"/>
      <c r="J196" s="9"/>
      <c r="K196" s="9"/>
      <c r="L196" s="17"/>
      <c r="M196" s="9"/>
      <c r="N196" s="9"/>
      <c r="O196" s="25" t="str">
        <f aca="false">IF($C196="","",IFERROR(INDEX(設定!$B$14:$B$18,MATCH($E196,設定!$A$14:$A$18,0)),0))</f>
        <v/>
      </c>
      <c r="P196" s="25" t="str">
        <f aca="false">IF($C196="","",IF(N($G196)&lt;=1,0,MIN(100,LOG10($G196)/LOG10(設定!$B$43)*100)))</f>
        <v/>
      </c>
      <c r="Q196" s="25" t="str">
        <f aca="false">IF($C196="","",IFERROR(INDEX(設定!$B$21:$B$24,MATCH($H196,設定!$A$21:$A$24,0)),0))</f>
        <v/>
      </c>
      <c r="R196" s="25" t="str">
        <f aca="false">IF($C196="","",IF(設定!$B$45&lt;=0,0,MIN(100,N($I196)/設定!$B$45*100)))</f>
        <v/>
      </c>
      <c r="S196" s="25" t="str">
        <f aca="false">IF($C196="","",IFERROR(INDEX(設定!$B$27:$B$29,MATCH($J196,設定!$A$27:$A$29,0)),0))</f>
        <v/>
      </c>
      <c r="T196" s="25" t="str">
        <f aca="false">IF($C196="","",IFERROR(INDEX(設定!$B$32:$B$35,MATCH($K196,設定!$A$32:$A$35,0)),0))</f>
        <v/>
      </c>
      <c r="U196" s="25" t="str">
        <f aca="false">IF($C196="","",IF(N($L196)&lt;1,0,MIN(100,LOG10($L196+1)/LOG10(設定!$B$44+1)*100)))</f>
        <v/>
      </c>
      <c r="V196" s="25" t="str">
        <f aca="false">IF($C196="","",IF(設定!$B$11=0,0,(O196*設定!$B$4+P196*設定!$B$5+Q196*設定!$B$6+R196*設定!$B$7+S196*設定!$B$8+T196*設定!$B$9+U196*設定!$B$10)/設定!$B$11))</f>
        <v/>
      </c>
      <c r="W196" s="25" t="str">
        <f aca="false">IF($C196="","",IFERROR(INDEX(設定!$B$38:$B$40,MATCH($M196,設定!$A$38:$A$40,0)),1))</f>
        <v/>
      </c>
      <c r="X196" s="26" t="str">
        <f aca="false">IF($C196="","",ROUND(V196*W196,1))</f>
        <v/>
      </c>
      <c r="Y196" s="27" t="str">
        <f aca="false">IF($C196="","",INDEX(設定!$B$49:$B$53,MATCH(X196,設定!$A$49:$A$53,1)))</f>
        <v/>
      </c>
    </row>
    <row r="197" customFormat="false" ht="15" hidden="false" customHeight="false" outlineLevel="0" collapsed="false">
      <c r="A197" s="23" t="n">
        <v>193</v>
      </c>
      <c r="B197" s="24"/>
      <c r="C197" s="9"/>
      <c r="D197" s="9"/>
      <c r="E197" s="15"/>
      <c r="F197" s="9"/>
      <c r="G197" s="17"/>
      <c r="H197" s="9"/>
      <c r="I197" s="9"/>
      <c r="J197" s="9"/>
      <c r="K197" s="9"/>
      <c r="L197" s="17"/>
      <c r="M197" s="9"/>
      <c r="N197" s="9"/>
      <c r="O197" s="25" t="str">
        <f aca="false">IF($C197="","",IFERROR(INDEX(設定!$B$14:$B$18,MATCH($E197,設定!$A$14:$A$18,0)),0))</f>
        <v/>
      </c>
      <c r="P197" s="25" t="str">
        <f aca="false">IF($C197="","",IF(N($G197)&lt;=1,0,MIN(100,LOG10($G197)/LOG10(設定!$B$43)*100)))</f>
        <v/>
      </c>
      <c r="Q197" s="25" t="str">
        <f aca="false">IF($C197="","",IFERROR(INDEX(設定!$B$21:$B$24,MATCH($H197,設定!$A$21:$A$24,0)),0))</f>
        <v/>
      </c>
      <c r="R197" s="25" t="str">
        <f aca="false">IF($C197="","",IF(設定!$B$45&lt;=0,0,MIN(100,N($I197)/設定!$B$45*100)))</f>
        <v/>
      </c>
      <c r="S197" s="25" t="str">
        <f aca="false">IF($C197="","",IFERROR(INDEX(設定!$B$27:$B$29,MATCH($J197,設定!$A$27:$A$29,0)),0))</f>
        <v/>
      </c>
      <c r="T197" s="25" t="str">
        <f aca="false">IF($C197="","",IFERROR(INDEX(設定!$B$32:$B$35,MATCH($K197,設定!$A$32:$A$35,0)),0))</f>
        <v/>
      </c>
      <c r="U197" s="25" t="str">
        <f aca="false">IF($C197="","",IF(N($L197)&lt;1,0,MIN(100,LOG10($L197+1)/LOG10(設定!$B$44+1)*100)))</f>
        <v/>
      </c>
      <c r="V197" s="25" t="str">
        <f aca="false">IF($C197="","",IF(設定!$B$11=0,0,(O197*設定!$B$4+P197*設定!$B$5+Q197*設定!$B$6+R197*設定!$B$7+S197*設定!$B$8+T197*設定!$B$9+U197*設定!$B$10)/設定!$B$11))</f>
        <v/>
      </c>
      <c r="W197" s="25" t="str">
        <f aca="false">IF($C197="","",IFERROR(INDEX(設定!$B$38:$B$40,MATCH($M197,設定!$A$38:$A$40,0)),1))</f>
        <v/>
      </c>
      <c r="X197" s="26" t="str">
        <f aca="false">IF($C197="","",ROUND(V197*W197,1))</f>
        <v/>
      </c>
      <c r="Y197" s="27" t="str">
        <f aca="false">IF($C197="","",INDEX(設定!$B$49:$B$53,MATCH(X197,設定!$A$49:$A$53,1)))</f>
        <v/>
      </c>
    </row>
    <row r="198" customFormat="false" ht="15" hidden="false" customHeight="false" outlineLevel="0" collapsed="false">
      <c r="A198" s="23" t="n">
        <v>194</v>
      </c>
      <c r="B198" s="24"/>
      <c r="C198" s="9"/>
      <c r="D198" s="9"/>
      <c r="E198" s="15"/>
      <c r="F198" s="9"/>
      <c r="G198" s="17"/>
      <c r="H198" s="9"/>
      <c r="I198" s="9"/>
      <c r="J198" s="9"/>
      <c r="K198" s="9"/>
      <c r="L198" s="17"/>
      <c r="M198" s="9"/>
      <c r="N198" s="9"/>
      <c r="O198" s="25" t="str">
        <f aca="false">IF($C198="","",IFERROR(INDEX(設定!$B$14:$B$18,MATCH($E198,設定!$A$14:$A$18,0)),0))</f>
        <v/>
      </c>
      <c r="P198" s="25" t="str">
        <f aca="false">IF($C198="","",IF(N($G198)&lt;=1,0,MIN(100,LOG10($G198)/LOG10(設定!$B$43)*100)))</f>
        <v/>
      </c>
      <c r="Q198" s="25" t="str">
        <f aca="false">IF($C198="","",IFERROR(INDEX(設定!$B$21:$B$24,MATCH($H198,設定!$A$21:$A$24,0)),0))</f>
        <v/>
      </c>
      <c r="R198" s="25" t="str">
        <f aca="false">IF($C198="","",IF(設定!$B$45&lt;=0,0,MIN(100,N($I198)/設定!$B$45*100)))</f>
        <v/>
      </c>
      <c r="S198" s="25" t="str">
        <f aca="false">IF($C198="","",IFERROR(INDEX(設定!$B$27:$B$29,MATCH($J198,設定!$A$27:$A$29,0)),0))</f>
        <v/>
      </c>
      <c r="T198" s="25" t="str">
        <f aca="false">IF($C198="","",IFERROR(INDEX(設定!$B$32:$B$35,MATCH($K198,設定!$A$32:$A$35,0)),0))</f>
        <v/>
      </c>
      <c r="U198" s="25" t="str">
        <f aca="false">IF($C198="","",IF(N($L198)&lt;1,0,MIN(100,LOG10($L198+1)/LOG10(設定!$B$44+1)*100)))</f>
        <v/>
      </c>
      <c r="V198" s="25" t="str">
        <f aca="false">IF($C198="","",IF(設定!$B$11=0,0,(O198*設定!$B$4+P198*設定!$B$5+Q198*設定!$B$6+R198*設定!$B$7+S198*設定!$B$8+T198*設定!$B$9+U198*設定!$B$10)/設定!$B$11))</f>
        <v/>
      </c>
      <c r="W198" s="25" t="str">
        <f aca="false">IF($C198="","",IFERROR(INDEX(設定!$B$38:$B$40,MATCH($M198,設定!$A$38:$A$40,0)),1))</f>
        <v/>
      </c>
      <c r="X198" s="26" t="str">
        <f aca="false">IF($C198="","",ROUND(V198*W198,1))</f>
        <v/>
      </c>
      <c r="Y198" s="27" t="str">
        <f aca="false">IF($C198="","",INDEX(設定!$B$49:$B$53,MATCH(X198,設定!$A$49:$A$53,1)))</f>
        <v/>
      </c>
    </row>
    <row r="199" customFormat="false" ht="15" hidden="false" customHeight="false" outlineLevel="0" collapsed="false">
      <c r="A199" s="23" t="n">
        <v>195</v>
      </c>
      <c r="B199" s="24"/>
      <c r="C199" s="9"/>
      <c r="D199" s="9"/>
      <c r="E199" s="15"/>
      <c r="F199" s="9"/>
      <c r="G199" s="17"/>
      <c r="H199" s="9"/>
      <c r="I199" s="9"/>
      <c r="J199" s="9"/>
      <c r="K199" s="9"/>
      <c r="L199" s="17"/>
      <c r="M199" s="9"/>
      <c r="N199" s="9"/>
      <c r="O199" s="25" t="str">
        <f aca="false">IF($C199="","",IFERROR(INDEX(設定!$B$14:$B$18,MATCH($E199,設定!$A$14:$A$18,0)),0))</f>
        <v/>
      </c>
      <c r="P199" s="25" t="str">
        <f aca="false">IF($C199="","",IF(N($G199)&lt;=1,0,MIN(100,LOG10($G199)/LOG10(設定!$B$43)*100)))</f>
        <v/>
      </c>
      <c r="Q199" s="25" t="str">
        <f aca="false">IF($C199="","",IFERROR(INDEX(設定!$B$21:$B$24,MATCH($H199,設定!$A$21:$A$24,0)),0))</f>
        <v/>
      </c>
      <c r="R199" s="25" t="str">
        <f aca="false">IF($C199="","",IF(設定!$B$45&lt;=0,0,MIN(100,N($I199)/設定!$B$45*100)))</f>
        <v/>
      </c>
      <c r="S199" s="25" t="str">
        <f aca="false">IF($C199="","",IFERROR(INDEX(設定!$B$27:$B$29,MATCH($J199,設定!$A$27:$A$29,0)),0))</f>
        <v/>
      </c>
      <c r="T199" s="25" t="str">
        <f aca="false">IF($C199="","",IFERROR(INDEX(設定!$B$32:$B$35,MATCH($K199,設定!$A$32:$A$35,0)),0))</f>
        <v/>
      </c>
      <c r="U199" s="25" t="str">
        <f aca="false">IF($C199="","",IF(N($L199)&lt;1,0,MIN(100,LOG10($L199+1)/LOG10(設定!$B$44+1)*100)))</f>
        <v/>
      </c>
      <c r="V199" s="25" t="str">
        <f aca="false">IF($C199="","",IF(設定!$B$11=0,0,(O199*設定!$B$4+P199*設定!$B$5+Q199*設定!$B$6+R199*設定!$B$7+S199*設定!$B$8+T199*設定!$B$9+U199*設定!$B$10)/設定!$B$11))</f>
        <v/>
      </c>
      <c r="W199" s="25" t="str">
        <f aca="false">IF($C199="","",IFERROR(INDEX(設定!$B$38:$B$40,MATCH($M199,設定!$A$38:$A$40,0)),1))</f>
        <v/>
      </c>
      <c r="X199" s="26" t="str">
        <f aca="false">IF($C199="","",ROUND(V199*W199,1))</f>
        <v/>
      </c>
      <c r="Y199" s="27" t="str">
        <f aca="false">IF($C199="","",INDEX(設定!$B$49:$B$53,MATCH(X199,設定!$A$49:$A$53,1)))</f>
        <v/>
      </c>
    </row>
    <row r="200" customFormat="false" ht="15" hidden="false" customHeight="false" outlineLevel="0" collapsed="false">
      <c r="A200" s="23" t="n">
        <v>196</v>
      </c>
      <c r="B200" s="24"/>
      <c r="C200" s="9"/>
      <c r="D200" s="9"/>
      <c r="E200" s="15"/>
      <c r="F200" s="9"/>
      <c r="G200" s="17"/>
      <c r="H200" s="9"/>
      <c r="I200" s="9"/>
      <c r="J200" s="9"/>
      <c r="K200" s="9"/>
      <c r="L200" s="17"/>
      <c r="M200" s="9"/>
      <c r="N200" s="9"/>
      <c r="O200" s="25" t="str">
        <f aca="false">IF($C200="","",IFERROR(INDEX(設定!$B$14:$B$18,MATCH($E200,設定!$A$14:$A$18,0)),0))</f>
        <v/>
      </c>
      <c r="P200" s="25" t="str">
        <f aca="false">IF($C200="","",IF(N($G200)&lt;=1,0,MIN(100,LOG10($G200)/LOG10(設定!$B$43)*100)))</f>
        <v/>
      </c>
      <c r="Q200" s="25" t="str">
        <f aca="false">IF($C200="","",IFERROR(INDEX(設定!$B$21:$B$24,MATCH($H200,設定!$A$21:$A$24,0)),0))</f>
        <v/>
      </c>
      <c r="R200" s="25" t="str">
        <f aca="false">IF($C200="","",IF(設定!$B$45&lt;=0,0,MIN(100,N($I200)/設定!$B$45*100)))</f>
        <v/>
      </c>
      <c r="S200" s="25" t="str">
        <f aca="false">IF($C200="","",IFERROR(INDEX(設定!$B$27:$B$29,MATCH($J200,設定!$A$27:$A$29,0)),0))</f>
        <v/>
      </c>
      <c r="T200" s="25" t="str">
        <f aca="false">IF($C200="","",IFERROR(INDEX(設定!$B$32:$B$35,MATCH($K200,設定!$A$32:$A$35,0)),0))</f>
        <v/>
      </c>
      <c r="U200" s="25" t="str">
        <f aca="false">IF($C200="","",IF(N($L200)&lt;1,0,MIN(100,LOG10($L200+1)/LOG10(設定!$B$44+1)*100)))</f>
        <v/>
      </c>
      <c r="V200" s="25" t="str">
        <f aca="false">IF($C200="","",IF(設定!$B$11=0,0,(O200*設定!$B$4+P200*設定!$B$5+Q200*設定!$B$6+R200*設定!$B$7+S200*設定!$B$8+T200*設定!$B$9+U200*設定!$B$10)/設定!$B$11))</f>
        <v/>
      </c>
      <c r="W200" s="25" t="str">
        <f aca="false">IF($C200="","",IFERROR(INDEX(設定!$B$38:$B$40,MATCH($M200,設定!$A$38:$A$40,0)),1))</f>
        <v/>
      </c>
      <c r="X200" s="26" t="str">
        <f aca="false">IF($C200="","",ROUND(V200*W200,1))</f>
        <v/>
      </c>
      <c r="Y200" s="27" t="str">
        <f aca="false">IF($C200="","",INDEX(設定!$B$49:$B$53,MATCH(X200,設定!$A$49:$A$53,1)))</f>
        <v/>
      </c>
    </row>
    <row r="201" customFormat="false" ht="15" hidden="false" customHeight="false" outlineLevel="0" collapsed="false">
      <c r="A201" s="23" t="n">
        <v>197</v>
      </c>
      <c r="B201" s="24"/>
      <c r="C201" s="9"/>
      <c r="D201" s="9"/>
      <c r="E201" s="15"/>
      <c r="F201" s="9"/>
      <c r="G201" s="17"/>
      <c r="H201" s="9"/>
      <c r="I201" s="9"/>
      <c r="J201" s="9"/>
      <c r="K201" s="9"/>
      <c r="L201" s="17"/>
      <c r="M201" s="9"/>
      <c r="N201" s="9"/>
      <c r="O201" s="25" t="str">
        <f aca="false">IF($C201="","",IFERROR(INDEX(設定!$B$14:$B$18,MATCH($E201,設定!$A$14:$A$18,0)),0))</f>
        <v/>
      </c>
      <c r="P201" s="25" t="str">
        <f aca="false">IF($C201="","",IF(N($G201)&lt;=1,0,MIN(100,LOG10($G201)/LOG10(設定!$B$43)*100)))</f>
        <v/>
      </c>
      <c r="Q201" s="25" t="str">
        <f aca="false">IF($C201="","",IFERROR(INDEX(設定!$B$21:$B$24,MATCH($H201,設定!$A$21:$A$24,0)),0))</f>
        <v/>
      </c>
      <c r="R201" s="25" t="str">
        <f aca="false">IF($C201="","",IF(設定!$B$45&lt;=0,0,MIN(100,N($I201)/設定!$B$45*100)))</f>
        <v/>
      </c>
      <c r="S201" s="25" t="str">
        <f aca="false">IF($C201="","",IFERROR(INDEX(設定!$B$27:$B$29,MATCH($J201,設定!$A$27:$A$29,0)),0))</f>
        <v/>
      </c>
      <c r="T201" s="25" t="str">
        <f aca="false">IF($C201="","",IFERROR(INDEX(設定!$B$32:$B$35,MATCH($K201,設定!$A$32:$A$35,0)),0))</f>
        <v/>
      </c>
      <c r="U201" s="25" t="str">
        <f aca="false">IF($C201="","",IF(N($L201)&lt;1,0,MIN(100,LOG10($L201+1)/LOG10(設定!$B$44+1)*100)))</f>
        <v/>
      </c>
      <c r="V201" s="25" t="str">
        <f aca="false">IF($C201="","",IF(設定!$B$11=0,0,(O201*設定!$B$4+P201*設定!$B$5+Q201*設定!$B$6+R201*設定!$B$7+S201*設定!$B$8+T201*設定!$B$9+U201*設定!$B$10)/設定!$B$11))</f>
        <v/>
      </c>
      <c r="W201" s="25" t="str">
        <f aca="false">IF($C201="","",IFERROR(INDEX(設定!$B$38:$B$40,MATCH($M201,設定!$A$38:$A$40,0)),1))</f>
        <v/>
      </c>
      <c r="X201" s="26" t="str">
        <f aca="false">IF($C201="","",ROUND(V201*W201,1))</f>
        <v/>
      </c>
      <c r="Y201" s="27" t="str">
        <f aca="false">IF($C201="","",INDEX(設定!$B$49:$B$53,MATCH(X201,設定!$A$49:$A$53,1)))</f>
        <v/>
      </c>
    </row>
    <row r="202" customFormat="false" ht="15" hidden="false" customHeight="false" outlineLevel="0" collapsed="false">
      <c r="A202" s="23" t="n">
        <v>198</v>
      </c>
      <c r="B202" s="24"/>
      <c r="C202" s="9"/>
      <c r="D202" s="9"/>
      <c r="E202" s="15"/>
      <c r="F202" s="9"/>
      <c r="G202" s="17"/>
      <c r="H202" s="9"/>
      <c r="I202" s="9"/>
      <c r="J202" s="9"/>
      <c r="K202" s="9"/>
      <c r="L202" s="17"/>
      <c r="M202" s="9"/>
      <c r="N202" s="9"/>
      <c r="O202" s="25" t="str">
        <f aca="false">IF($C202="","",IFERROR(INDEX(設定!$B$14:$B$18,MATCH($E202,設定!$A$14:$A$18,0)),0))</f>
        <v/>
      </c>
      <c r="P202" s="25" t="str">
        <f aca="false">IF($C202="","",IF(N($G202)&lt;=1,0,MIN(100,LOG10($G202)/LOG10(設定!$B$43)*100)))</f>
        <v/>
      </c>
      <c r="Q202" s="25" t="str">
        <f aca="false">IF($C202="","",IFERROR(INDEX(設定!$B$21:$B$24,MATCH($H202,設定!$A$21:$A$24,0)),0))</f>
        <v/>
      </c>
      <c r="R202" s="25" t="str">
        <f aca="false">IF($C202="","",IF(設定!$B$45&lt;=0,0,MIN(100,N($I202)/設定!$B$45*100)))</f>
        <v/>
      </c>
      <c r="S202" s="25" t="str">
        <f aca="false">IF($C202="","",IFERROR(INDEX(設定!$B$27:$B$29,MATCH($J202,設定!$A$27:$A$29,0)),0))</f>
        <v/>
      </c>
      <c r="T202" s="25" t="str">
        <f aca="false">IF($C202="","",IFERROR(INDEX(設定!$B$32:$B$35,MATCH($K202,設定!$A$32:$A$35,0)),0))</f>
        <v/>
      </c>
      <c r="U202" s="25" t="str">
        <f aca="false">IF($C202="","",IF(N($L202)&lt;1,0,MIN(100,LOG10($L202+1)/LOG10(設定!$B$44+1)*100)))</f>
        <v/>
      </c>
      <c r="V202" s="25" t="str">
        <f aca="false">IF($C202="","",IF(設定!$B$11=0,0,(O202*設定!$B$4+P202*設定!$B$5+Q202*設定!$B$6+R202*設定!$B$7+S202*設定!$B$8+T202*設定!$B$9+U202*設定!$B$10)/設定!$B$11))</f>
        <v/>
      </c>
      <c r="W202" s="25" t="str">
        <f aca="false">IF($C202="","",IFERROR(INDEX(設定!$B$38:$B$40,MATCH($M202,設定!$A$38:$A$40,0)),1))</f>
        <v/>
      </c>
      <c r="X202" s="26" t="str">
        <f aca="false">IF($C202="","",ROUND(V202*W202,1))</f>
        <v/>
      </c>
      <c r="Y202" s="27" t="str">
        <f aca="false">IF($C202="","",INDEX(設定!$B$49:$B$53,MATCH(X202,設定!$A$49:$A$53,1)))</f>
        <v/>
      </c>
    </row>
    <row r="203" customFormat="false" ht="15" hidden="false" customHeight="false" outlineLevel="0" collapsed="false">
      <c r="A203" s="23" t="n">
        <v>199</v>
      </c>
      <c r="B203" s="24"/>
      <c r="C203" s="9"/>
      <c r="D203" s="9"/>
      <c r="E203" s="15"/>
      <c r="F203" s="9"/>
      <c r="G203" s="17"/>
      <c r="H203" s="9"/>
      <c r="I203" s="9"/>
      <c r="J203" s="9"/>
      <c r="K203" s="9"/>
      <c r="L203" s="17"/>
      <c r="M203" s="9"/>
      <c r="N203" s="9"/>
      <c r="O203" s="25" t="str">
        <f aca="false">IF($C203="","",IFERROR(INDEX(設定!$B$14:$B$18,MATCH($E203,設定!$A$14:$A$18,0)),0))</f>
        <v/>
      </c>
      <c r="P203" s="25" t="str">
        <f aca="false">IF($C203="","",IF(N($G203)&lt;=1,0,MIN(100,LOG10($G203)/LOG10(設定!$B$43)*100)))</f>
        <v/>
      </c>
      <c r="Q203" s="25" t="str">
        <f aca="false">IF($C203="","",IFERROR(INDEX(設定!$B$21:$B$24,MATCH($H203,設定!$A$21:$A$24,0)),0))</f>
        <v/>
      </c>
      <c r="R203" s="25" t="str">
        <f aca="false">IF($C203="","",IF(設定!$B$45&lt;=0,0,MIN(100,N($I203)/設定!$B$45*100)))</f>
        <v/>
      </c>
      <c r="S203" s="25" t="str">
        <f aca="false">IF($C203="","",IFERROR(INDEX(設定!$B$27:$B$29,MATCH($J203,設定!$A$27:$A$29,0)),0))</f>
        <v/>
      </c>
      <c r="T203" s="25" t="str">
        <f aca="false">IF($C203="","",IFERROR(INDEX(設定!$B$32:$B$35,MATCH($K203,設定!$A$32:$A$35,0)),0))</f>
        <v/>
      </c>
      <c r="U203" s="25" t="str">
        <f aca="false">IF($C203="","",IF(N($L203)&lt;1,0,MIN(100,LOG10($L203+1)/LOG10(設定!$B$44+1)*100)))</f>
        <v/>
      </c>
      <c r="V203" s="25" t="str">
        <f aca="false">IF($C203="","",IF(設定!$B$11=0,0,(O203*設定!$B$4+P203*設定!$B$5+Q203*設定!$B$6+R203*設定!$B$7+S203*設定!$B$8+T203*設定!$B$9+U203*設定!$B$10)/設定!$B$11))</f>
        <v/>
      </c>
      <c r="W203" s="25" t="str">
        <f aca="false">IF($C203="","",IFERROR(INDEX(設定!$B$38:$B$40,MATCH($M203,設定!$A$38:$A$40,0)),1))</f>
        <v/>
      </c>
      <c r="X203" s="26" t="str">
        <f aca="false">IF($C203="","",ROUND(V203*W203,1))</f>
        <v/>
      </c>
      <c r="Y203" s="27" t="str">
        <f aca="false">IF($C203="","",INDEX(設定!$B$49:$B$53,MATCH(X203,設定!$A$49:$A$53,1)))</f>
        <v/>
      </c>
    </row>
    <row r="204" customFormat="false" ht="15" hidden="false" customHeight="false" outlineLevel="0" collapsed="false">
      <c r="A204" s="23" t="n">
        <v>200</v>
      </c>
      <c r="B204" s="24"/>
      <c r="C204" s="9"/>
      <c r="D204" s="9"/>
      <c r="E204" s="15"/>
      <c r="F204" s="9"/>
      <c r="G204" s="17"/>
      <c r="H204" s="9"/>
      <c r="I204" s="9"/>
      <c r="J204" s="9"/>
      <c r="K204" s="9"/>
      <c r="L204" s="17"/>
      <c r="M204" s="9"/>
      <c r="N204" s="9"/>
      <c r="O204" s="25" t="str">
        <f aca="false">IF($C204="","",IFERROR(INDEX(設定!$B$14:$B$18,MATCH($E204,設定!$A$14:$A$18,0)),0))</f>
        <v/>
      </c>
      <c r="P204" s="25" t="str">
        <f aca="false">IF($C204="","",IF(N($G204)&lt;=1,0,MIN(100,LOG10($G204)/LOG10(設定!$B$43)*100)))</f>
        <v/>
      </c>
      <c r="Q204" s="25" t="str">
        <f aca="false">IF($C204="","",IFERROR(INDEX(設定!$B$21:$B$24,MATCH($H204,設定!$A$21:$A$24,0)),0))</f>
        <v/>
      </c>
      <c r="R204" s="25" t="str">
        <f aca="false">IF($C204="","",IF(設定!$B$45&lt;=0,0,MIN(100,N($I204)/設定!$B$45*100)))</f>
        <v/>
      </c>
      <c r="S204" s="25" t="str">
        <f aca="false">IF($C204="","",IFERROR(INDEX(設定!$B$27:$B$29,MATCH($J204,設定!$A$27:$A$29,0)),0))</f>
        <v/>
      </c>
      <c r="T204" s="25" t="str">
        <f aca="false">IF($C204="","",IFERROR(INDEX(設定!$B$32:$B$35,MATCH($K204,設定!$A$32:$A$35,0)),0))</f>
        <v/>
      </c>
      <c r="U204" s="25" t="str">
        <f aca="false">IF($C204="","",IF(N($L204)&lt;1,0,MIN(100,LOG10($L204+1)/LOG10(設定!$B$44+1)*100)))</f>
        <v/>
      </c>
      <c r="V204" s="25" t="str">
        <f aca="false">IF($C204="","",IF(設定!$B$11=0,0,(O204*設定!$B$4+P204*設定!$B$5+Q204*設定!$B$6+R204*設定!$B$7+S204*設定!$B$8+T204*設定!$B$9+U204*設定!$B$10)/設定!$B$11))</f>
        <v/>
      </c>
      <c r="W204" s="25" t="str">
        <f aca="false">IF($C204="","",IFERROR(INDEX(設定!$B$38:$B$40,MATCH($M204,設定!$A$38:$A$40,0)),1))</f>
        <v/>
      </c>
      <c r="X204" s="26" t="str">
        <f aca="false">IF($C204="","",ROUND(V204*W204,1))</f>
        <v/>
      </c>
      <c r="Y204" s="27" t="str">
        <f aca="false">IF($C204="","",INDEX(設定!$B$49:$B$53,MATCH(X204,設定!$A$49:$A$53,1)))</f>
        <v/>
      </c>
    </row>
    <row r="205" customFormat="false" ht="15" hidden="false" customHeight="false" outlineLevel="0" collapsed="false">
      <c r="A205" s="23" t="n">
        <v>201</v>
      </c>
      <c r="B205" s="24"/>
      <c r="C205" s="9"/>
      <c r="D205" s="9"/>
      <c r="E205" s="15"/>
      <c r="F205" s="9"/>
      <c r="G205" s="17"/>
      <c r="H205" s="9"/>
      <c r="I205" s="9"/>
      <c r="J205" s="9"/>
      <c r="K205" s="9"/>
      <c r="L205" s="17"/>
      <c r="M205" s="9"/>
      <c r="N205" s="9"/>
      <c r="O205" s="25" t="str">
        <f aca="false">IF($C205="","",IFERROR(INDEX(設定!$B$14:$B$18,MATCH($E205,設定!$A$14:$A$18,0)),0))</f>
        <v/>
      </c>
      <c r="P205" s="25" t="str">
        <f aca="false">IF($C205="","",IF(N($G205)&lt;=1,0,MIN(100,LOG10($G205)/LOG10(設定!$B$43)*100)))</f>
        <v/>
      </c>
      <c r="Q205" s="25" t="str">
        <f aca="false">IF($C205="","",IFERROR(INDEX(設定!$B$21:$B$24,MATCH($H205,設定!$A$21:$A$24,0)),0))</f>
        <v/>
      </c>
      <c r="R205" s="25" t="str">
        <f aca="false">IF($C205="","",IF(設定!$B$45&lt;=0,0,MIN(100,N($I205)/設定!$B$45*100)))</f>
        <v/>
      </c>
      <c r="S205" s="25" t="str">
        <f aca="false">IF($C205="","",IFERROR(INDEX(設定!$B$27:$B$29,MATCH($J205,設定!$A$27:$A$29,0)),0))</f>
        <v/>
      </c>
      <c r="T205" s="25" t="str">
        <f aca="false">IF($C205="","",IFERROR(INDEX(設定!$B$32:$B$35,MATCH($K205,設定!$A$32:$A$35,0)),0))</f>
        <v/>
      </c>
      <c r="U205" s="25" t="str">
        <f aca="false">IF($C205="","",IF(N($L205)&lt;1,0,MIN(100,LOG10($L205+1)/LOG10(設定!$B$44+1)*100)))</f>
        <v/>
      </c>
      <c r="V205" s="25" t="str">
        <f aca="false">IF($C205="","",IF(設定!$B$11=0,0,(O205*設定!$B$4+P205*設定!$B$5+Q205*設定!$B$6+R205*設定!$B$7+S205*設定!$B$8+T205*設定!$B$9+U205*設定!$B$10)/設定!$B$11))</f>
        <v/>
      </c>
      <c r="W205" s="25" t="str">
        <f aca="false">IF($C205="","",IFERROR(INDEX(設定!$B$38:$B$40,MATCH($M205,設定!$A$38:$A$40,0)),1))</f>
        <v/>
      </c>
      <c r="X205" s="26" t="str">
        <f aca="false">IF($C205="","",ROUND(V205*W205,1))</f>
        <v/>
      </c>
      <c r="Y205" s="27" t="str">
        <f aca="false">IF($C205="","",INDEX(設定!$B$49:$B$53,MATCH(X205,設定!$A$49:$A$53,1)))</f>
        <v/>
      </c>
    </row>
    <row r="206" customFormat="false" ht="15" hidden="false" customHeight="false" outlineLevel="0" collapsed="false">
      <c r="A206" s="23" t="n">
        <v>202</v>
      </c>
      <c r="B206" s="24"/>
      <c r="C206" s="9"/>
      <c r="D206" s="9"/>
      <c r="E206" s="15"/>
      <c r="F206" s="9"/>
      <c r="G206" s="17"/>
      <c r="H206" s="9"/>
      <c r="I206" s="9"/>
      <c r="J206" s="9"/>
      <c r="K206" s="9"/>
      <c r="L206" s="17"/>
      <c r="M206" s="9"/>
      <c r="N206" s="9"/>
      <c r="O206" s="25" t="str">
        <f aca="false">IF($C206="","",IFERROR(INDEX(設定!$B$14:$B$18,MATCH($E206,設定!$A$14:$A$18,0)),0))</f>
        <v/>
      </c>
      <c r="P206" s="25" t="str">
        <f aca="false">IF($C206="","",IF(N($G206)&lt;=1,0,MIN(100,LOG10($G206)/LOG10(設定!$B$43)*100)))</f>
        <v/>
      </c>
      <c r="Q206" s="25" t="str">
        <f aca="false">IF($C206="","",IFERROR(INDEX(設定!$B$21:$B$24,MATCH($H206,設定!$A$21:$A$24,0)),0))</f>
        <v/>
      </c>
      <c r="R206" s="25" t="str">
        <f aca="false">IF($C206="","",IF(設定!$B$45&lt;=0,0,MIN(100,N($I206)/設定!$B$45*100)))</f>
        <v/>
      </c>
      <c r="S206" s="25" t="str">
        <f aca="false">IF($C206="","",IFERROR(INDEX(設定!$B$27:$B$29,MATCH($J206,設定!$A$27:$A$29,0)),0))</f>
        <v/>
      </c>
      <c r="T206" s="25" t="str">
        <f aca="false">IF($C206="","",IFERROR(INDEX(設定!$B$32:$B$35,MATCH($K206,設定!$A$32:$A$35,0)),0))</f>
        <v/>
      </c>
      <c r="U206" s="25" t="str">
        <f aca="false">IF($C206="","",IF(N($L206)&lt;1,0,MIN(100,LOG10($L206+1)/LOG10(設定!$B$44+1)*100)))</f>
        <v/>
      </c>
      <c r="V206" s="25" t="str">
        <f aca="false">IF($C206="","",IF(設定!$B$11=0,0,(O206*設定!$B$4+P206*設定!$B$5+Q206*設定!$B$6+R206*設定!$B$7+S206*設定!$B$8+T206*設定!$B$9+U206*設定!$B$10)/設定!$B$11))</f>
        <v/>
      </c>
      <c r="W206" s="25" t="str">
        <f aca="false">IF($C206="","",IFERROR(INDEX(設定!$B$38:$B$40,MATCH($M206,設定!$A$38:$A$40,0)),1))</f>
        <v/>
      </c>
      <c r="X206" s="26" t="str">
        <f aca="false">IF($C206="","",ROUND(V206*W206,1))</f>
        <v/>
      </c>
      <c r="Y206" s="27" t="str">
        <f aca="false">IF($C206="","",INDEX(設定!$B$49:$B$53,MATCH(X206,設定!$A$49:$A$53,1)))</f>
        <v/>
      </c>
    </row>
    <row r="207" customFormat="false" ht="15" hidden="false" customHeight="false" outlineLevel="0" collapsed="false">
      <c r="A207" s="23" t="n">
        <v>203</v>
      </c>
      <c r="B207" s="24"/>
      <c r="C207" s="9"/>
      <c r="D207" s="9"/>
      <c r="E207" s="15"/>
      <c r="F207" s="9"/>
      <c r="G207" s="17"/>
      <c r="H207" s="9"/>
      <c r="I207" s="9"/>
      <c r="J207" s="9"/>
      <c r="K207" s="9"/>
      <c r="L207" s="17"/>
      <c r="M207" s="9"/>
      <c r="N207" s="9"/>
      <c r="O207" s="25" t="str">
        <f aca="false">IF($C207="","",IFERROR(INDEX(設定!$B$14:$B$18,MATCH($E207,設定!$A$14:$A$18,0)),0))</f>
        <v/>
      </c>
      <c r="P207" s="25" t="str">
        <f aca="false">IF($C207="","",IF(N($G207)&lt;=1,0,MIN(100,LOG10($G207)/LOG10(設定!$B$43)*100)))</f>
        <v/>
      </c>
      <c r="Q207" s="25" t="str">
        <f aca="false">IF($C207="","",IFERROR(INDEX(設定!$B$21:$B$24,MATCH($H207,設定!$A$21:$A$24,0)),0))</f>
        <v/>
      </c>
      <c r="R207" s="25" t="str">
        <f aca="false">IF($C207="","",IF(設定!$B$45&lt;=0,0,MIN(100,N($I207)/設定!$B$45*100)))</f>
        <v/>
      </c>
      <c r="S207" s="25" t="str">
        <f aca="false">IF($C207="","",IFERROR(INDEX(設定!$B$27:$B$29,MATCH($J207,設定!$A$27:$A$29,0)),0))</f>
        <v/>
      </c>
      <c r="T207" s="25" t="str">
        <f aca="false">IF($C207="","",IFERROR(INDEX(設定!$B$32:$B$35,MATCH($K207,設定!$A$32:$A$35,0)),0))</f>
        <v/>
      </c>
      <c r="U207" s="25" t="str">
        <f aca="false">IF($C207="","",IF(N($L207)&lt;1,0,MIN(100,LOG10($L207+1)/LOG10(設定!$B$44+1)*100)))</f>
        <v/>
      </c>
      <c r="V207" s="25" t="str">
        <f aca="false">IF($C207="","",IF(設定!$B$11=0,0,(O207*設定!$B$4+P207*設定!$B$5+Q207*設定!$B$6+R207*設定!$B$7+S207*設定!$B$8+T207*設定!$B$9+U207*設定!$B$10)/設定!$B$11))</f>
        <v/>
      </c>
      <c r="W207" s="25" t="str">
        <f aca="false">IF($C207="","",IFERROR(INDEX(設定!$B$38:$B$40,MATCH($M207,設定!$A$38:$A$40,0)),1))</f>
        <v/>
      </c>
      <c r="X207" s="26" t="str">
        <f aca="false">IF($C207="","",ROUND(V207*W207,1))</f>
        <v/>
      </c>
      <c r="Y207" s="27" t="str">
        <f aca="false">IF($C207="","",INDEX(設定!$B$49:$B$53,MATCH(X207,設定!$A$49:$A$53,1)))</f>
        <v/>
      </c>
    </row>
    <row r="208" customFormat="false" ht="15" hidden="false" customHeight="false" outlineLevel="0" collapsed="false">
      <c r="A208" s="23" t="n">
        <v>204</v>
      </c>
      <c r="B208" s="24"/>
      <c r="C208" s="9"/>
      <c r="D208" s="9"/>
      <c r="E208" s="15"/>
      <c r="F208" s="9"/>
      <c r="G208" s="17"/>
      <c r="H208" s="9"/>
      <c r="I208" s="9"/>
      <c r="J208" s="9"/>
      <c r="K208" s="9"/>
      <c r="L208" s="17"/>
      <c r="M208" s="9"/>
      <c r="N208" s="9"/>
      <c r="O208" s="25" t="str">
        <f aca="false">IF($C208="","",IFERROR(INDEX(設定!$B$14:$B$18,MATCH($E208,設定!$A$14:$A$18,0)),0))</f>
        <v/>
      </c>
      <c r="P208" s="25" t="str">
        <f aca="false">IF($C208="","",IF(N($G208)&lt;=1,0,MIN(100,LOG10($G208)/LOG10(設定!$B$43)*100)))</f>
        <v/>
      </c>
      <c r="Q208" s="25" t="str">
        <f aca="false">IF($C208="","",IFERROR(INDEX(設定!$B$21:$B$24,MATCH($H208,設定!$A$21:$A$24,0)),0))</f>
        <v/>
      </c>
      <c r="R208" s="25" t="str">
        <f aca="false">IF($C208="","",IF(設定!$B$45&lt;=0,0,MIN(100,N($I208)/設定!$B$45*100)))</f>
        <v/>
      </c>
      <c r="S208" s="25" t="str">
        <f aca="false">IF($C208="","",IFERROR(INDEX(設定!$B$27:$B$29,MATCH($J208,設定!$A$27:$A$29,0)),0))</f>
        <v/>
      </c>
      <c r="T208" s="25" t="str">
        <f aca="false">IF($C208="","",IFERROR(INDEX(設定!$B$32:$B$35,MATCH($K208,設定!$A$32:$A$35,0)),0))</f>
        <v/>
      </c>
      <c r="U208" s="25" t="str">
        <f aca="false">IF($C208="","",IF(N($L208)&lt;1,0,MIN(100,LOG10($L208+1)/LOG10(設定!$B$44+1)*100)))</f>
        <v/>
      </c>
      <c r="V208" s="25" t="str">
        <f aca="false">IF($C208="","",IF(設定!$B$11=0,0,(O208*設定!$B$4+P208*設定!$B$5+Q208*設定!$B$6+R208*設定!$B$7+S208*設定!$B$8+T208*設定!$B$9+U208*設定!$B$10)/設定!$B$11))</f>
        <v/>
      </c>
      <c r="W208" s="25" t="str">
        <f aca="false">IF($C208="","",IFERROR(INDEX(設定!$B$38:$B$40,MATCH($M208,設定!$A$38:$A$40,0)),1))</f>
        <v/>
      </c>
      <c r="X208" s="26" t="str">
        <f aca="false">IF($C208="","",ROUND(V208*W208,1))</f>
        <v/>
      </c>
      <c r="Y208" s="27" t="str">
        <f aca="false">IF($C208="","",INDEX(設定!$B$49:$B$53,MATCH(X208,設定!$A$49:$A$53,1)))</f>
        <v/>
      </c>
    </row>
    <row r="209" customFormat="false" ht="15" hidden="false" customHeight="false" outlineLevel="0" collapsed="false">
      <c r="A209" s="23" t="n">
        <v>205</v>
      </c>
      <c r="B209" s="24"/>
      <c r="C209" s="9"/>
      <c r="D209" s="9"/>
      <c r="E209" s="15"/>
      <c r="F209" s="9"/>
      <c r="G209" s="17"/>
      <c r="H209" s="9"/>
      <c r="I209" s="9"/>
      <c r="J209" s="9"/>
      <c r="K209" s="9"/>
      <c r="L209" s="17"/>
      <c r="M209" s="9"/>
      <c r="N209" s="9"/>
      <c r="O209" s="25" t="str">
        <f aca="false">IF($C209="","",IFERROR(INDEX(設定!$B$14:$B$18,MATCH($E209,設定!$A$14:$A$18,0)),0))</f>
        <v/>
      </c>
      <c r="P209" s="25" t="str">
        <f aca="false">IF($C209="","",IF(N($G209)&lt;=1,0,MIN(100,LOG10($G209)/LOG10(設定!$B$43)*100)))</f>
        <v/>
      </c>
      <c r="Q209" s="25" t="str">
        <f aca="false">IF($C209="","",IFERROR(INDEX(設定!$B$21:$B$24,MATCH($H209,設定!$A$21:$A$24,0)),0))</f>
        <v/>
      </c>
      <c r="R209" s="25" t="str">
        <f aca="false">IF($C209="","",IF(設定!$B$45&lt;=0,0,MIN(100,N($I209)/設定!$B$45*100)))</f>
        <v/>
      </c>
      <c r="S209" s="25" t="str">
        <f aca="false">IF($C209="","",IFERROR(INDEX(設定!$B$27:$B$29,MATCH($J209,設定!$A$27:$A$29,0)),0))</f>
        <v/>
      </c>
      <c r="T209" s="25" t="str">
        <f aca="false">IF($C209="","",IFERROR(INDEX(設定!$B$32:$B$35,MATCH($K209,設定!$A$32:$A$35,0)),0))</f>
        <v/>
      </c>
      <c r="U209" s="25" t="str">
        <f aca="false">IF($C209="","",IF(N($L209)&lt;1,0,MIN(100,LOG10($L209+1)/LOG10(設定!$B$44+1)*100)))</f>
        <v/>
      </c>
      <c r="V209" s="25" t="str">
        <f aca="false">IF($C209="","",IF(設定!$B$11=0,0,(O209*設定!$B$4+P209*設定!$B$5+Q209*設定!$B$6+R209*設定!$B$7+S209*設定!$B$8+T209*設定!$B$9+U209*設定!$B$10)/設定!$B$11))</f>
        <v/>
      </c>
      <c r="W209" s="25" t="str">
        <f aca="false">IF($C209="","",IFERROR(INDEX(設定!$B$38:$B$40,MATCH($M209,設定!$A$38:$A$40,0)),1))</f>
        <v/>
      </c>
      <c r="X209" s="26" t="str">
        <f aca="false">IF($C209="","",ROUND(V209*W209,1))</f>
        <v/>
      </c>
      <c r="Y209" s="27" t="str">
        <f aca="false">IF($C209="","",INDEX(設定!$B$49:$B$53,MATCH(X209,設定!$A$49:$A$53,1)))</f>
        <v/>
      </c>
    </row>
    <row r="210" customFormat="false" ht="15" hidden="false" customHeight="false" outlineLevel="0" collapsed="false">
      <c r="A210" s="23" t="n">
        <v>206</v>
      </c>
      <c r="B210" s="24"/>
      <c r="C210" s="9"/>
      <c r="D210" s="9"/>
      <c r="E210" s="15"/>
      <c r="F210" s="9"/>
      <c r="G210" s="17"/>
      <c r="H210" s="9"/>
      <c r="I210" s="9"/>
      <c r="J210" s="9"/>
      <c r="K210" s="9"/>
      <c r="L210" s="17"/>
      <c r="M210" s="9"/>
      <c r="N210" s="9"/>
      <c r="O210" s="25" t="str">
        <f aca="false">IF($C210="","",IFERROR(INDEX(設定!$B$14:$B$18,MATCH($E210,設定!$A$14:$A$18,0)),0))</f>
        <v/>
      </c>
      <c r="P210" s="25" t="str">
        <f aca="false">IF($C210="","",IF(N($G210)&lt;=1,0,MIN(100,LOG10($G210)/LOG10(設定!$B$43)*100)))</f>
        <v/>
      </c>
      <c r="Q210" s="25" t="str">
        <f aca="false">IF($C210="","",IFERROR(INDEX(設定!$B$21:$B$24,MATCH($H210,設定!$A$21:$A$24,0)),0))</f>
        <v/>
      </c>
      <c r="R210" s="25" t="str">
        <f aca="false">IF($C210="","",IF(設定!$B$45&lt;=0,0,MIN(100,N($I210)/設定!$B$45*100)))</f>
        <v/>
      </c>
      <c r="S210" s="25" t="str">
        <f aca="false">IF($C210="","",IFERROR(INDEX(設定!$B$27:$B$29,MATCH($J210,設定!$A$27:$A$29,0)),0))</f>
        <v/>
      </c>
      <c r="T210" s="25" t="str">
        <f aca="false">IF($C210="","",IFERROR(INDEX(設定!$B$32:$B$35,MATCH($K210,設定!$A$32:$A$35,0)),0))</f>
        <v/>
      </c>
      <c r="U210" s="25" t="str">
        <f aca="false">IF($C210="","",IF(N($L210)&lt;1,0,MIN(100,LOG10($L210+1)/LOG10(設定!$B$44+1)*100)))</f>
        <v/>
      </c>
      <c r="V210" s="25" t="str">
        <f aca="false">IF($C210="","",IF(設定!$B$11=0,0,(O210*設定!$B$4+P210*設定!$B$5+Q210*設定!$B$6+R210*設定!$B$7+S210*設定!$B$8+T210*設定!$B$9+U210*設定!$B$10)/設定!$B$11))</f>
        <v/>
      </c>
      <c r="W210" s="25" t="str">
        <f aca="false">IF($C210="","",IFERROR(INDEX(設定!$B$38:$B$40,MATCH($M210,設定!$A$38:$A$40,0)),1))</f>
        <v/>
      </c>
      <c r="X210" s="26" t="str">
        <f aca="false">IF($C210="","",ROUND(V210*W210,1))</f>
        <v/>
      </c>
      <c r="Y210" s="27" t="str">
        <f aca="false">IF($C210="","",INDEX(設定!$B$49:$B$53,MATCH(X210,設定!$A$49:$A$53,1)))</f>
        <v/>
      </c>
    </row>
    <row r="211" customFormat="false" ht="15" hidden="false" customHeight="false" outlineLevel="0" collapsed="false">
      <c r="A211" s="23" t="n">
        <v>207</v>
      </c>
      <c r="B211" s="24"/>
      <c r="C211" s="9"/>
      <c r="D211" s="9"/>
      <c r="E211" s="15"/>
      <c r="F211" s="9"/>
      <c r="G211" s="17"/>
      <c r="H211" s="9"/>
      <c r="I211" s="9"/>
      <c r="J211" s="9"/>
      <c r="K211" s="9"/>
      <c r="L211" s="17"/>
      <c r="M211" s="9"/>
      <c r="N211" s="9"/>
      <c r="O211" s="25" t="str">
        <f aca="false">IF($C211="","",IFERROR(INDEX(設定!$B$14:$B$18,MATCH($E211,設定!$A$14:$A$18,0)),0))</f>
        <v/>
      </c>
      <c r="P211" s="25" t="str">
        <f aca="false">IF($C211="","",IF(N($G211)&lt;=1,0,MIN(100,LOG10($G211)/LOG10(設定!$B$43)*100)))</f>
        <v/>
      </c>
      <c r="Q211" s="25" t="str">
        <f aca="false">IF($C211="","",IFERROR(INDEX(設定!$B$21:$B$24,MATCH($H211,設定!$A$21:$A$24,0)),0))</f>
        <v/>
      </c>
      <c r="R211" s="25" t="str">
        <f aca="false">IF($C211="","",IF(設定!$B$45&lt;=0,0,MIN(100,N($I211)/設定!$B$45*100)))</f>
        <v/>
      </c>
      <c r="S211" s="25" t="str">
        <f aca="false">IF($C211="","",IFERROR(INDEX(設定!$B$27:$B$29,MATCH($J211,設定!$A$27:$A$29,0)),0))</f>
        <v/>
      </c>
      <c r="T211" s="25" t="str">
        <f aca="false">IF($C211="","",IFERROR(INDEX(設定!$B$32:$B$35,MATCH($K211,設定!$A$32:$A$35,0)),0))</f>
        <v/>
      </c>
      <c r="U211" s="25" t="str">
        <f aca="false">IF($C211="","",IF(N($L211)&lt;1,0,MIN(100,LOG10($L211+1)/LOG10(設定!$B$44+1)*100)))</f>
        <v/>
      </c>
      <c r="V211" s="25" t="str">
        <f aca="false">IF($C211="","",IF(設定!$B$11=0,0,(O211*設定!$B$4+P211*設定!$B$5+Q211*設定!$B$6+R211*設定!$B$7+S211*設定!$B$8+T211*設定!$B$9+U211*設定!$B$10)/設定!$B$11))</f>
        <v/>
      </c>
      <c r="W211" s="25" t="str">
        <f aca="false">IF($C211="","",IFERROR(INDEX(設定!$B$38:$B$40,MATCH($M211,設定!$A$38:$A$40,0)),1))</f>
        <v/>
      </c>
      <c r="X211" s="26" t="str">
        <f aca="false">IF($C211="","",ROUND(V211*W211,1))</f>
        <v/>
      </c>
      <c r="Y211" s="27" t="str">
        <f aca="false">IF($C211="","",INDEX(設定!$B$49:$B$53,MATCH(X211,設定!$A$49:$A$53,1)))</f>
        <v/>
      </c>
    </row>
    <row r="212" customFormat="false" ht="15" hidden="false" customHeight="false" outlineLevel="0" collapsed="false">
      <c r="A212" s="23" t="n">
        <v>208</v>
      </c>
      <c r="B212" s="24"/>
      <c r="C212" s="9"/>
      <c r="D212" s="9"/>
      <c r="E212" s="15"/>
      <c r="F212" s="9"/>
      <c r="G212" s="17"/>
      <c r="H212" s="9"/>
      <c r="I212" s="9"/>
      <c r="J212" s="9"/>
      <c r="K212" s="9"/>
      <c r="L212" s="17"/>
      <c r="M212" s="9"/>
      <c r="N212" s="9"/>
      <c r="O212" s="25" t="str">
        <f aca="false">IF($C212="","",IFERROR(INDEX(設定!$B$14:$B$18,MATCH($E212,設定!$A$14:$A$18,0)),0))</f>
        <v/>
      </c>
      <c r="P212" s="25" t="str">
        <f aca="false">IF($C212="","",IF(N($G212)&lt;=1,0,MIN(100,LOG10($G212)/LOG10(設定!$B$43)*100)))</f>
        <v/>
      </c>
      <c r="Q212" s="25" t="str">
        <f aca="false">IF($C212="","",IFERROR(INDEX(設定!$B$21:$B$24,MATCH($H212,設定!$A$21:$A$24,0)),0))</f>
        <v/>
      </c>
      <c r="R212" s="25" t="str">
        <f aca="false">IF($C212="","",IF(設定!$B$45&lt;=0,0,MIN(100,N($I212)/設定!$B$45*100)))</f>
        <v/>
      </c>
      <c r="S212" s="25" t="str">
        <f aca="false">IF($C212="","",IFERROR(INDEX(設定!$B$27:$B$29,MATCH($J212,設定!$A$27:$A$29,0)),0))</f>
        <v/>
      </c>
      <c r="T212" s="25" t="str">
        <f aca="false">IF($C212="","",IFERROR(INDEX(設定!$B$32:$B$35,MATCH($K212,設定!$A$32:$A$35,0)),0))</f>
        <v/>
      </c>
      <c r="U212" s="25" t="str">
        <f aca="false">IF($C212="","",IF(N($L212)&lt;1,0,MIN(100,LOG10($L212+1)/LOG10(設定!$B$44+1)*100)))</f>
        <v/>
      </c>
      <c r="V212" s="25" t="str">
        <f aca="false">IF($C212="","",IF(設定!$B$11=0,0,(O212*設定!$B$4+P212*設定!$B$5+Q212*設定!$B$6+R212*設定!$B$7+S212*設定!$B$8+T212*設定!$B$9+U212*設定!$B$10)/設定!$B$11))</f>
        <v/>
      </c>
      <c r="W212" s="25" t="str">
        <f aca="false">IF($C212="","",IFERROR(INDEX(設定!$B$38:$B$40,MATCH($M212,設定!$A$38:$A$40,0)),1))</f>
        <v/>
      </c>
      <c r="X212" s="26" t="str">
        <f aca="false">IF($C212="","",ROUND(V212*W212,1))</f>
        <v/>
      </c>
      <c r="Y212" s="27" t="str">
        <f aca="false">IF($C212="","",INDEX(設定!$B$49:$B$53,MATCH(X212,設定!$A$49:$A$53,1)))</f>
        <v/>
      </c>
    </row>
    <row r="213" customFormat="false" ht="15" hidden="false" customHeight="false" outlineLevel="0" collapsed="false">
      <c r="A213" s="23" t="n">
        <v>209</v>
      </c>
      <c r="B213" s="24"/>
      <c r="C213" s="9"/>
      <c r="D213" s="9"/>
      <c r="E213" s="15"/>
      <c r="F213" s="9"/>
      <c r="G213" s="17"/>
      <c r="H213" s="9"/>
      <c r="I213" s="9"/>
      <c r="J213" s="9"/>
      <c r="K213" s="9"/>
      <c r="L213" s="17"/>
      <c r="M213" s="9"/>
      <c r="N213" s="9"/>
      <c r="O213" s="25" t="str">
        <f aca="false">IF($C213="","",IFERROR(INDEX(設定!$B$14:$B$18,MATCH($E213,設定!$A$14:$A$18,0)),0))</f>
        <v/>
      </c>
      <c r="P213" s="25" t="str">
        <f aca="false">IF($C213="","",IF(N($G213)&lt;=1,0,MIN(100,LOG10($G213)/LOG10(設定!$B$43)*100)))</f>
        <v/>
      </c>
      <c r="Q213" s="25" t="str">
        <f aca="false">IF($C213="","",IFERROR(INDEX(設定!$B$21:$B$24,MATCH($H213,設定!$A$21:$A$24,0)),0))</f>
        <v/>
      </c>
      <c r="R213" s="25" t="str">
        <f aca="false">IF($C213="","",IF(設定!$B$45&lt;=0,0,MIN(100,N($I213)/設定!$B$45*100)))</f>
        <v/>
      </c>
      <c r="S213" s="25" t="str">
        <f aca="false">IF($C213="","",IFERROR(INDEX(設定!$B$27:$B$29,MATCH($J213,設定!$A$27:$A$29,0)),0))</f>
        <v/>
      </c>
      <c r="T213" s="25" t="str">
        <f aca="false">IF($C213="","",IFERROR(INDEX(設定!$B$32:$B$35,MATCH($K213,設定!$A$32:$A$35,0)),0))</f>
        <v/>
      </c>
      <c r="U213" s="25" t="str">
        <f aca="false">IF($C213="","",IF(N($L213)&lt;1,0,MIN(100,LOG10($L213+1)/LOG10(設定!$B$44+1)*100)))</f>
        <v/>
      </c>
      <c r="V213" s="25" t="str">
        <f aca="false">IF($C213="","",IF(設定!$B$11=0,0,(O213*設定!$B$4+P213*設定!$B$5+Q213*設定!$B$6+R213*設定!$B$7+S213*設定!$B$8+T213*設定!$B$9+U213*設定!$B$10)/設定!$B$11))</f>
        <v/>
      </c>
      <c r="W213" s="25" t="str">
        <f aca="false">IF($C213="","",IFERROR(INDEX(設定!$B$38:$B$40,MATCH($M213,設定!$A$38:$A$40,0)),1))</f>
        <v/>
      </c>
      <c r="X213" s="26" t="str">
        <f aca="false">IF($C213="","",ROUND(V213*W213,1))</f>
        <v/>
      </c>
      <c r="Y213" s="27" t="str">
        <f aca="false">IF($C213="","",INDEX(設定!$B$49:$B$53,MATCH(X213,設定!$A$49:$A$53,1)))</f>
        <v/>
      </c>
    </row>
    <row r="214" customFormat="false" ht="15" hidden="false" customHeight="false" outlineLevel="0" collapsed="false">
      <c r="A214" s="23" t="n">
        <v>210</v>
      </c>
      <c r="B214" s="24"/>
      <c r="C214" s="9"/>
      <c r="D214" s="9"/>
      <c r="E214" s="15"/>
      <c r="F214" s="9"/>
      <c r="G214" s="17"/>
      <c r="H214" s="9"/>
      <c r="I214" s="9"/>
      <c r="J214" s="9"/>
      <c r="K214" s="9"/>
      <c r="L214" s="17"/>
      <c r="M214" s="9"/>
      <c r="N214" s="9"/>
      <c r="O214" s="25" t="str">
        <f aca="false">IF($C214="","",IFERROR(INDEX(設定!$B$14:$B$18,MATCH($E214,設定!$A$14:$A$18,0)),0))</f>
        <v/>
      </c>
      <c r="P214" s="25" t="str">
        <f aca="false">IF($C214="","",IF(N($G214)&lt;=1,0,MIN(100,LOG10($G214)/LOG10(設定!$B$43)*100)))</f>
        <v/>
      </c>
      <c r="Q214" s="25" t="str">
        <f aca="false">IF($C214="","",IFERROR(INDEX(設定!$B$21:$B$24,MATCH($H214,設定!$A$21:$A$24,0)),0))</f>
        <v/>
      </c>
      <c r="R214" s="25" t="str">
        <f aca="false">IF($C214="","",IF(設定!$B$45&lt;=0,0,MIN(100,N($I214)/設定!$B$45*100)))</f>
        <v/>
      </c>
      <c r="S214" s="25" t="str">
        <f aca="false">IF($C214="","",IFERROR(INDEX(設定!$B$27:$B$29,MATCH($J214,設定!$A$27:$A$29,0)),0))</f>
        <v/>
      </c>
      <c r="T214" s="25" t="str">
        <f aca="false">IF($C214="","",IFERROR(INDEX(設定!$B$32:$B$35,MATCH($K214,設定!$A$32:$A$35,0)),0))</f>
        <v/>
      </c>
      <c r="U214" s="25" t="str">
        <f aca="false">IF($C214="","",IF(N($L214)&lt;1,0,MIN(100,LOG10($L214+1)/LOG10(設定!$B$44+1)*100)))</f>
        <v/>
      </c>
      <c r="V214" s="25" t="str">
        <f aca="false">IF($C214="","",IF(設定!$B$11=0,0,(O214*設定!$B$4+P214*設定!$B$5+Q214*設定!$B$6+R214*設定!$B$7+S214*設定!$B$8+T214*設定!$B$9+U214*設定!$B$10)/設定!$B$11))</f>
        <v/>
      </c>
      <c r="W214" s="25" t="str">
        <f aca="false">IF($C214="","",IFERROR(INDEX(設定!$B$38:$B$40,MATCH($M214,設定!$A$38:$A$40,0)),1))</f>
        <v/>
      </c>
      <c r="X214" s="26" t="str">
        <f aca="false">IF($C214="","",ROUND(V214*W214,1))</f>
        <v/>
      </c>
      <c r="Y214" s="27" t="str">
        <f aca="false">IF($C214="","",INDEX(設定!$B$49:$B$53,MATCH(X214,設定!$A$49:$A$53,1)))</f>
        <v/>
      </c>
    </row>
    <row r="215" customFormat="false" ht="15" hidden="false" customHeight="false" outlineLevel="0" collapsed="false">
      <c r="A215" s="23" t="n">
        <v>211</v>
      </c>
      <c r="B215" s="24"/>
      <c r="C215" s="9"/>
      <c r="D215" s="9"/>
      <c r="E215" s="15"/>
      <c r="F215" s="9"/>
      <c r="G215" s="17"/>
      <c r="H215" s="9"/>
      <c r="I215" s="9"/>
      <c r="J215" s="9"/>
      <c r="K215" s="9"/>
      <c r="L215" s="17"/>
      <c r="M215" s="9"/>
      <c r="N215" s="9"/>
      <c r="O215" s="25" t="str">
        <f aca="false">IF($C215="","",IFERROR(INDEX(設定!$B$14:$B$18,MATCH($E215,設定!$A$14:$A$18,0)),0))</f>
        <v/>
      </c>
      <c r="P215" s="25" t="str">
        <f aca="false">IF($C215="","",IF(N($G215)&lt;=1,0,MIN(100,LOG10($G215)/LOG10(設定!$B$43)*100)))</f>
        <v/>
      </c>
      <c r="Q215" s="25" t="str">
        <f aca="false">IF($C215="","",IFERROR(INDEX(設定!$B$21:$B$24,MATCH($H215,設定!$A$21:$A$24,0)),0))</f>
        <v/>
      </c>
      <c r="R215" s="25" t="str">
        <f aca="false">IF($C215="","",IF(設定!$B$45&lt;=0,0,MIN(100,N($I215)/設定!$B$45*100)))</f>
        <v/>
      </c>
      <c r="S215" s="25" t="str">
        <f aca="false">IF($C215="","",IFERROR(INDEX(設定!$B$27:$B$29,MATCH($J215,設定!$A$27:$A$29,0)),0))</f>
        <v/>
      </c>
      <c r="T215" s="25" t="str">
        <f aca="false">IF($C215="","",IFERROR(INDEX(設定!$B$32:$B$35,MATCH($K215,設定!$A$32:$A$35,0)),0))</f>
        <v/>
      </c>
      <c r="U215" s="25" t="str">
        <f aca="false">IF($C215="","",IF(N($L215)&lt;1,0,MIN(100,LOG10($L215+1)/LOG10(設定!$B$44+1)*100)))</f>
        <v/>
      </c>
      <c r="V215" s="25" t="str">
        <f aca="false">IF($C215="","",IF(設定!$B$11=0,0,(O215*設定!$B$4+P215*設定!$B$5+Q215*設定!$B$6+R215*設定!$B$7+S215*設定!$B$8+T215*設定!$B$9+U215*設定!$B$10)/設定!$B$11))</f>
        <v/>
      </c>
      <c r="W215" s="25" t="str">
        <f aca="false">IF($C215="","",IFERROR(INDEX(設定!$B$38:$B$40,MATCH($M215,設定!$A$38:$A$40,0)),1))</f>
        <v/>
      </c>
      <c r="X215" s="26" t="str">
        <f aca="false">IF($C215="","",ROUND(V215*W215,1))</f>
        <v/>
      </c>
      <c r="Y215" s="27" t="str">
        <f aca="false">IF($C215="","",INDEX(設定!$B$49:$B$53,MATCH(X215,設定!$A$49:$A$53,1)))</f>
        <v/>
      </c>
    </row>
    <row r="216" customFormat="false" ht="15" hidden="false" customHeight="false" outlineLevel="0" collapsed="false">
      <c r="A216" s="23" t="n">
        <v>212</v>
      </c>
      <c r="B216" s="24"/>
      <c r="C216" s="9"/>
      <c r="D216" s="9"/>
      <c r="E216" s="15"/>
      <c r="F216" s="9"/>
      <c r="G216" s="17"/>
      <c r="H216" s="9"/>
      <c r="I216" s="9"/>
      <c r="J216" s="9"/>
      <c r="K216" s="9"/>
      <c r="L216" s="17"/>
      <c r="M216" s="9"/>
      <c r="N216" s="9"/>
      <c r="O216" s="25" t="str">
        <f aca="false">IF($C216="","",IFERROR(INDEX(設定!$B$14:$B$18,MATCH($E216,設定!$A$14:$A$18,0)),0))</f>
        <v/>
      </c>
      <c r="P216" s="25" t="str">
        <f aca="false">IF($C216="","",IF(N($G216)&lt;=1,0,MIN(100,LOG10($G216)/LOG10(設定!$B$43)*100)))</f>
        <v/>
      </c>
      <c r="Q216" s="25" t="str">
        <f aca="false">IF($C216="","",IFERROR(INDEX(設定!$B$21:$B$24,MATCH($H216,設定!$A$21:$A$24,0)),0))</f>
        <v/>
      </c>
      <c r="R216" s="25" t="str">
        <f aca="false">IF($C216="","",IF(設定!$B$45&lt;=0,0,MIN(100,N($I216)/設定!$B$45*100)))</f>
        <v/>
      </c>
      <c r="S216" s="25" t="str">
        <f aca="false">IF($C216="","",IFERROR(INDEX(設定!$B$27:$B$29,MATCH($J216,設定!$A$27:$A$29,0)),0))</f>
        <v/>
      </c>
      <c r="T216" s="25" t="str">
        <f aca="false">IF($C216="","",IFERROR(INDEX(設定!$B$32:$B$35,MATCH($K216,設定!$A$32:$A$35,0)),0))</f>
        <v/>
      </c>
      <c r="U216" s="25" t="str">
        <f aca="false">IF($C216="","",IF(N($L216)&lt;1,0,MIN(100,LOG10($L216+1)/LOG10(設定!$B$44+1)*100)))</f>
        <v/>
      </c>
      <c r="V216" s="25" t="str">
        <f aca="false">IF($C216="","",IF(設定!$B$11=0,0,(O216*設定!$B$4+P216*設定!$B$5+Q216*設定!$B$6+R216*設定!$B$7+S216*設定!$B$8+T216*設定!$B$9+U216*設定!$B$10)/設定!$B$11))</f>
        <v/>
      </c>
      <c r="W216" s="25" t="str">
        <f aca="false">IF($C216="","",IFERROR(INDEX(設定!$B$38:$B$40,MATCH($M216,設定!$A$38:$A$40,0)),1))</f>
        <v/>
      </c>
      <c r="X216" s="26" t="str">
        <f aca="false">IF($C216="","",ROUND(V216*W216,1))</f>
        <v/>
      </c>
      <c r="Y216" s="27" t="str">
        <f aca="false">IF($C216="","",INDEX(設定!$B$49:$B$53,MATCH(X216,設定!$A$49:$A$53,1)))</f>
        <v/>
      </c>
    </row>
    <row r="217" customFormat="false" ht="15" hidden="false" customHeight="false" outlineLevel="0" collapsed="false">
      <c r="A217" s="23" t="n">
        <v>213</v>
      </c>
      <c r="B217" s="24"/>
      <c r="C217" s="9"/>
      <c r="D217" s="9"/>
      <c r="E217" s="15"/>
      <c r="F217" s="9"/>
      <c r="G217" s="17"/>
      <c r="H217" s="9"/>
      <c r="I217" s="9"/>
      <c r="J217" s="9"/>
      <c r="K217" s="9"/>
      <c r="L217" s="17"/>
      <c r="M217" s="9"/>
      <c r="N217" s="9"/>
      <c r="O217" s="25" t="str">
        <f aca="false">IF($C217="","",IFERROR(INDEX(設定!$B$14:$B$18,MATCH($E217,設定!$A$14:$A$18,0)),0))</f>
        <v/>
      </c>
      <c r="P217" s="25" t="str">
        <f aca="false">IF($C217="","",IF(N($G217)&lt;=1,0,MIN(100,LOG10($G217)/LOG10(設定!$B$43)*100)))</f>
        <v/>
      </c>
      <c r="Q217" s="25" t="str">
        <f aca="false">IF($C217="","",IFERROR(INDEX(設定!$B$21:$B$24,MATCH($H217,設定!$A$21:$A$24,0)),0))</f>
        <v/>
      </c>
      <c r="R217" s="25" t="str">
        <f aca="false">IF($C217="","",IF(設定!$B$45&lt;=0,0,MIN(100,N($I217)/設定!$B$45*100)))</f>
        <v/>
      </c>
      <c r="S217" s="25" t="str">
        <f aca="false">IF($C217="","",IFERROR(INDEX(設定!$B$27:$B$29,MATCH($J217,設定!$A$27:$A$29,0)),0))</f>
        <v/>
      </c>
      <c r="T217" s="25" t="str">
        <f aca="false">IF($C217="","",IFERROR(INDEX(設定!$B$32:$B$35,MATCH($K217,設定!$A$32:$A$35,0)),0))</f>
        <v/>
      </c>
      <c r="U217" s="25" t="str">
        <f aca="false">IF($C217="","",IF(N($L217)&lt;1,0,MIN(100,LOG10($L217+1)/LOG10(設定!$B$44+1)*100)))</f>
        <v/>
      </c>
      <c r="V217" s="25" t="str">
        <f aca="false">IF($C217="","",IF(設定!$B$11=0,0,(O217*設定!$B$4+P217*設定!$B$5+Q217*設定!$B$6+R217*設定!$B$7+S217*設定!$B$8+T217*設定!$B$9+U217*設定!$B$10)/設定!$B$11))</f>
        <v/>
      </c>
      <c r="W217" s="25" t="str">
        <f aca="false">IF($C217="","",IFERROR(INDEX(設定!$B$38:$B$40,MATCH($M217,設定!$A$38:$A$40,0)),1))</f>
        <v/>
      </c>
      <c r="X217" s="26" t="str">
        <f aca="false">IF($C217="","",ROUND(V217*W217,1))</f>
        <v/>
      </c>
      <c r="Y217" s="27" t="str">
        <f aca="false">IF($C217="","",INDEX(設定!$B$49:$B$53,MATCH(X217,設定!$A$49:$A$53,1)))</f>
        <v/>
      </c>
    </row>
    <row r="218" customFormat="false" ht="15" hidden="false" customHeight="false" outlineLevel="0" collapsed="false">
      <c r="A218" s="23" t="n">
        <v>214</v>
      </c>
      <c r="B218" s="24"/>
      <c r="C218" s="9"/>
      <c r="D218" s="9"/>
      <c r="E218" s="15"/>
      <c r="F218" s="9"/>
      <c r="G218" s="17"/>
      <c r="H218" s="9"/>
      <c r="I218" s="9"/>
      <c r="J218" s="9"/>
      <c r="K218" s="9"/>
      <c r="L218" s="17"/>
      <c r="M218" s="9"/>
      <c r="N218" s="9"/>
      <c r="O218" s="25" t="str">
        <f aca="false">IF($C218="","",IFERROR(INDEX(設定!$B$14:$B$18,MATCH($E218,設定!$A$14:$A$18,0)),0))</f>
        <v/>
      </c>
      <c r="P218" s="25" t="str">
        <f aca="false">IF($C218="","",IF(N($G218)&lt;=1,0,MIN(100,LOG10($G218)/LOG10(設定!$B$43)*100)))</f>
        <v/>
      </c>
      <c r="Q218" s="25" t="str">
        <f aca="false">IF($C218="","",IFERROR(INDEX(設定!$B$21:$B$24,MATCH($H218,設定!$A$21:$A$24,0)),0))</f>
        <v/>
      </c>
      <c r="R218" s="25" t="str">
        <f aca="false">IF($C218="","",IF(設定!$B$45&lt;=0,0,MIN(100,N($I218)/設定!$B$45*100)))</f>
        <v/>
      </c>
      <c r="S218" s="25" t="str">
        <f aca="false">IF($C218="","",IFERROR(INDEX(設定!$B$27:$B$29,MATCH($J218,設定!$A$27:$A$29,0)),0))</f>
        <v/>
      </c>
      <c r="T218" s="25" t="str">
        <f aca="false">IF($C218="","",IFERROR(INDEX(設定!$B$32:$B$35,MATCH($K218,設定!$A$32:$A$35,0)),0))</f>
        <v/>
      </c>
      <c r="U218" s="25" t="str">
        <f aca="false">IF($C218="","",IF(N($L218)&lt;1,0,MIN(100,LOG10($L218+1)/LOG10(設定!$B$44+1)*100)))</f>
        <v/>
      </c>
      <c r="V218" s="25" t="str">
        <f aca="false">IF($C218="","",IF(設定!$B$11=0,0,(O218*設定!$B$4+P218*設定!$B$5+Q218*設定!$B$6+R218*設定!$B$7+S218*設定!$B$8+T218*設定!$B$9+U218*設定!$B$10)/設定!$B$11))</f>
        <v/>
      </c>
      <c r="W218" s="25" t="str">
        <f aca="false">IF($C218="","",IFERROR(INDEX(設定!$B$38:$B$40,MATCH($M218,設定!$A$38:$A$40,0)),1))</f>
        <v/>
      </c>
      <c r="X218" s="26" t="str">
        <f aca="false">IF($C218="","",ROUND(V218*W218,1))</f>
        <v/>
      </c>
      <c r="Y218" s="27" t="str">
        <f aca="false">IF($C218="","",INDEX(設定!$B$49:$B$53,MATCH(X218,設定!$A$49:$A$53,1)))</f>
        <v/>
      </c>
    </row>
    <row r="219" customFormat="false" ht="15" hidden="false" customHeight="false" outlineLevel="0" collapsed="false">
      <c r="A219" s="23" t="n">
        <v>215</v>
      </c>
      <c r="B219" s="24"/>
      <c r="C219" s="9"/>
      <c r="D219" s="9"/>
      <c r="E219" s="15"/>
      <c r="F219" s="9"/>
      <c r="G219" s="17"/>
      <c r="H219" s="9"/>
      <c r="I219" s="9"/>
      <c r="J219" s="9"/>
      <c r="K219" s="9"/>
      <c r="L219" s="17"/>
      <c r="M219" s="9"/>
      <c r="N219" s="9"/>
      <c r="O219" s="25" t="str">
        <f aca="false">IF($C219="","",IFERROR(INDEX(設定!$B$14:$B$18,MATCH($E219,設定!$A$14:$A$18,0)),0))</f>
        <v/>
      </c>
      <c r="P219" s="25" t="str">
        <f aca="false">IF($C219="","",IF(N($G219)&lt;=1,0,MIN(100,LOG10($G219)/LOG10(設定!$B$43)*100)))</f>
        <v/>
      </c>
      <c r="Q219" s="25" t="str">
        <f aca="false">IF($C219="","",IFERROR(INDEX(設定!$B$21:$B$24,MATCH($H219,設定!$A$21:$A$24,0)),0))</f>
        <v/>
      </c>
      <c r="R219" s="25" t="str">
        <f aca="false">IF($C219="","",IF(設定!$B$45&lt;=0,0,MIN(100,N($I219)/設定!$B$45*100)))</f>
        <v/>
      </c>
      <c r="S219" s="25" t="str">
        <f aca="false">IF($C219="","",IFERROR(INDEX(設定!$B$27:$B$29,MATCH($J219,設定!$A$27:$A$29,0)),0))</f>
        <v/>
      </c>
      <c r="T219" s="25" t="str">
        <f aca="false">IF($C219="","",IFERROR(INDEX(設定!$B$32:$B$35,MATCH($K219,設定!$A$32:$A$35,0)),0))</f>
        <v/>
      </c>
      <c r="U219" s="25" t="str">
        <f aca="false">IF($C219="","",IF(N($L219)&lt;1,0,MIN(100,LOG10($L219+1)/LOG10(設定!$B$44+1)*100)))</f>
        <v/>
      </c>
      <c r="V219" s="25" t="str">
        <f aca="false">IF($C219="","",IF(設定!$B$11=0,0,(O219*設定!$B$4+P219*設定!$B$5+Q219*設定!$B$6+R219*設定!$B$7+S219*設定!$B$8+T219*設定!$B$9+U219*設定!$B$10)/設定!$B$11))</f>
        <v/>
      </c>
      <c r="W219" s="25" t="str">
        <f aca="false">IF($C219="","",IFERROR(INDEX(設定!$B$38:$B$40,MATCH($M219,設定!$A$38:$A$40,0)),1))</f>
        <v/>
      </c>
      <c r="X219" s="26" t="str">
        <f aca="false">IF($C219="","",ROUND(V219*W219,1))</f>
        <v/>
      </c>
      <c r="Y219" s="27" t="str">
        <f aca="false">IF($C219="","",INDEX(設定!$B$49:$B$53,MATCH(X219,設定!$A$49:$A$53,1)))</f>
        <v/>
      </c>
    </row>
    <row r="220" customFormat="false" ht="15" hidden="false" customHeight="false" outlineLevel="0" collapsed="false">
      <c r="A220" s="23" t="n">
        <v>216</v>
      </c>
      <c r="B220" s="24"/>
      <c r="C220" s="9"/>
      <c r="D220" s="9"/>
      <c r="E220" s="15"/>
      <c r="F220" s="9"/>
      <c r="G220" s="17"/>
      <c r="H220" s="9"/>
      <c r="I220" s="9"/>
      <c r="J220" s="9"/>
      <c r="K220" s="9"/>
      <c r="L220" s="17"/>
      <c r="M220" s="9"/>
      <c r="N220" s="9"/>
      <c r="O220" s="25" t="str">
        <f aca="false">IF($C220="","",IFERROR(INDEX(設定!$B$14:$B$18,MATCH($E220,設定!$A$14:$A$18,0)),0))</f>
        <v/>
      </c>
      <c r="P220" s="25" t="str">
        <f aca="false">IF($C220="","",IF(N($G220)&lt;=1,0,MIN(100,LOG10($G220)/LOG10(設定!$B$43)*100)))</f>
        <v/>
      </c>
      <c r="Q220" s="25" t="str">
        <f aca="false">IF($C220="","",IFERROR(INDEX(設定!$B$21:$B$24,MATCH($H220,設定!$A$21:$A$24,0)),0))</f>
        <v/>
      </c>
      <c r="R220" s="25" t="str">
        <f aca="false">IF($C220="","",IF(設定!$B$45&lt;=0,0,MIN(100,N($I220)/設定!$B$45*100)))</f>
        <v/>
      </c>
      <c r="S220" s="25" t="str">
        <f aca="false">IF($C220="","",IFERROR(INDEX(設定!$B$27:$B$29,MATCH($J220,設定!$A$27:$A$29,0)),0))</f>
        <v/>
      </c>
      <c r="T220" s="25" t="str">
        <f aca="false">IF($C220="","",IFERROR(INDEX(設定!$B$32:$B$35,MATCH($K220,設定!$A$32:$A$35,0)),0))</f>
        <v/>
      </c>
      <c r="U220" s="25" t="str">
        <f aca="false">IF($C220="","",IF(N($L220)&lt;1,0,MIN(100,LOG10($L220+1)/LOG10(設定!$B$44+1)*100)))</f>
        <v/>
      </c>
      <c r="V220" s="25" t="str">
        <f aca="false">IF($C220="","",IF(設定!$B$11=0,0,(O220*設定!$B$4+P220*設定!$B$5+Q220*設定!$B$6+R220*設定!$B$7+S220*設定!$B$8+T220*設定!$B$9+U220*設定!$B$10)/設定!$B$11))</f>
        <v/>
      </c>
      <c r="W220" s="25" t="str">
        <f aca="false">IF($C220="","",IFERROR(INDEX(設定!$B$38:$B$40,MATCH($M220,設定!$A$38:$A$40,0)),1))</f>
        <v/>
      </c>
      <c r="X220" s="26" t="str">
        <f aca="false">IF($C220="","",ROUND(V220*W220,1))</f>
        <v/>
      </c>
      <c r="Y220" s="27" t="str">
        <f aca="false">IF($C220="","",INDEX(設定!$B$49:$B$53,MATCH(X220,設定!$A$49:$A$53,1)))</f>
        <v/>
      </c>
    </row>
    <row r="221" customFormat="false" ht="15" hidden="false" customHeight="false" outlineLevel="0" collapsed="false">
      <c r="A221" s="23" t="n">
        <v>217</v>
      </c>
      <c r="B221" s="24"/>
      <c r="C221" s="9"/>
      <c r="D221" s="9"/>
      <c r="E221" s="15"/>
      <c r="F221" s="9"/>
      <c r="G221" s="17"/>
      <c r="H221" s="9"/>
      <c r="I221" s="9"/>
      <c r="J221" s="9"/>
      <c r="K221" s="9"/>
      <c r="L221" s="17"/>
      <c r="M221" s="9"/>
      <c r="N221" s="9"/>
      <c r="O221" s="25" t="str">
        <f aca="false">IF($C221="","",IFERROR(INDEX(設定!$B$14:$B$18,MATCH($E221,設定!$A$14:$A$18,0)),0))</f>
        <v/>
      </c>
      <c r="P221" s="25" t="str">
        <f aca="false">IF($C221="","",IF(N($G221)&lt;=1,0,MIN(100,LOG10($G221)/LOG10(設定!$B$43)*100)))</f>
        <v/>
      </c>
      <c r="Q221" s="25" t="str">
        <f aca="false">IF($C221="","",IFERROR(INDEX(設定!$B$21:$B$24,MATCH($H221,設定!$A$21:$A$24,0)),0))</f>
        <v/>
      </c>
      <c r="R221" s="25" t="str">
        <f aca="false">IF($C221="","",IF(設定!$B$45&lt;=0,0,MIN(100,N($I221)/設定!$B$45*100)))</f>
        <v/>
      </c>
      <c r="S221" s="25" t="str">
        <f aca="false">IF($C221="","",IFERROR(INDEX(設定!$B$27:$B$29,MATCH($J221,設定!$A$27:$A$29,0)),0))</f>
        <v/>
      </c>
      <c r="T221" s="25" t="str">
        <f aca="false">IF($C221="","",IFERROR(INDEX(設定!$B$32:$B$35,MATCH($K221,設定!$A$32:$A$35,0)),0))</f>
        <v/>
      </c>
      <c r="U221" s="25" t="str">
        <f aca="false">IF($C221="","",IF(N($L221)&lt;1,0,MIN(100,LOG10($L221+1)/LOG10(設定!$B$44+1)*100)))</f>
        <v/>
      </c>
      <c r="V221" s="25" t="str">
        <f aca="false">IF($C221="","",IF(設定!$B$11=0,0,(O221*設定!$B$4+P221*設定!$B$5+Q221*設定!$B$6+R221*設定!$B$7+S221*設定!$B$8+T221*設定!$B$9+U221*設定!$B$10)/設定!$B$11))</f>
        <v/>
      </c>
      <c r="W221" s="25" t="str">
        <f aca="false">IF($C221="","",IFERROR(INDEX(設定!$B$38:$B$40,MATCH($M221,設定!$A$38:$A$40,0)),1))</f>
        <v/>
      </c>
      <c r="X221" s="26" t="str">
        <f aca="false">IF($C221="","",ROUND(V221*W221,1))</f>
        <v/>
      </c>
      <c r="Y221" s="27" t="str">
        <f aca="false">IF($C221="","",INDEX(設定!$B$49:$B$53,MATCH(X221,設定!$A$49:$A$53,1)))</f>
        <v/>
      </c>
    </row>
    <row r="222" customFormat="false" ht="15" hidden="false" customHeight="false" outlineLevel="0" collapsed="false">
      <c r="A222" s="23" t="n">
        <v>218</v>
      </c>
      <c r="B222" s="24"/>
      <c r="C222" s="9"/>
      <c r="D222" s="9"/>
      <c r="E222" s="15"/>
      <c r="F222" s="9"/>
      <c r="G222" s="17"/>
      <c r="H222" s="9"/>
      <c r="I222" s="9"/>
      <c r="J222" s="9"/>
      <c r="K222" s="9"/>
      <c r="L222" s="17"/>
      <c r="M222" s="9"/>
      <c r="N222" s="9"/>
      <c r="O222" s="25" t="str">
        <f aca="false">IF($C222="","",IFERROR(INDEX(設定!$B$14:$B$18,MATCH($E222,設定!$A$14:$A$18,0)),0))</f>
        <v/>
      </c>
      <c r="P222" s="25" t="str">
        <f aca="false">IF($C222="","",IF(N($G222)&lt;=1,0,MIN(100,LOG10($G222)/LOG10(設定!$B$43)*100)))</f>
        <v/>
      </c>
      <c r="Q222" s="25" t="str">
        <f aca="false">IF($C222="","",IFERROR(INDEX(設定!$B$21:$B$24,MATCH($H222,設定!$A$21:$A$24,0)),0))</f>
        <v/>
      </c>
      <c r="R222" s="25" t="str">
        <f aca="false">IF($C222="","",IF(設定!$B$45&lt;=0,0,MIN(100,N($I222)/設定!$B$45*100)))</f>
        <v/>
      </c>
      <c r="S222" s="25" t="str">
        <f aca="false">IF($C222="","",IFERROR(INDEX(設定!$B$27:$B$29,MATCH($J222,設定!$A$27:$A$29,0)),0))</f>
        <v/>
      </c>
      <c r="T222" s="25" t="str">
        <f aca="false">IF($C222="","",IFERROR(INDEX(設定!$B$32:$B$35,MATCH($K222,設定!$A$32:$A$35,0)),0))</f>
        <v/>
      </c>
      <c r="U222" s="25" t="str">
        <f aca="false">IF($C222="","",IF(N($L222)&lt;1,0,MIN(100,LOG10($L222+1)/LOG10(設定!$B$44+1)*100)))</f>
        <v/>
      </c>
      <c r="V222" s="25" t="str">
        <f aca="false">IF($C222="","",IF(設定!$B$11=0,0,(O222*設定!$B$4+P222*設定!$B$5+Q222*設定!$B$6+R222*設定!$B$7+S222*設定!$B$8+T222*設定!$B$9+U222*設定!$B$10)/設定!$B$11))</f>
        <v/>
      </c>
      <c r="W222" s="25" t="str">
        <f aca="false">IF($C222="","",IFERROR(INDEX(設定!$B$38:$B$40,MATCH($M222,設定!$A$38:$A$40,0)),1))</f>
        <v/>
      </c>
      <c r="X222" s="26" t="str">
        <f aca="false">IF($C222="","",ROUND(V222*W222,1))</f>
        <v/>
      </c>
      <c r="Y222" s="27" t="str">
        <f aca="false">IF($C222="","",INDEX(設定!$B$49:$B$53,MATCH(X222,設定!$A$49:$A$53,1)))</f>
        <v/>
      </c>
    </row>
    <row r="223" customFormat="false" ht="15" hidden="false" customHeight="false" outlineLevel="0" collapsed="false">
      <c r="A223" s="23" t="n">
        <v>219</v>
      </c>
      <c r="B223" s="24"/>
      <c r="C223" s="9"/>
      <c r="D223" s="9"/>
      <c r="E223" s="15"/>
      <c r="F223" s="9"/>
      <c r="G223" s="17"/>
      <c r="H223" s="9"/>
      <c r="I223" s="9"/>
      <c r="J223" s="9"/>
      <c r="K223" s="9"/>
      <c r="L223" s="17"/>
      <c r="M223" s="9"/>
      <c r="N223" s="9"/>
      <c r="O223" s="25" t="str">
        <f aca="false">IF($C223="","",IFERROR(INDEX(設定!$B$14:$B$18,MATCH($E223,設定!$A$14:$A$18,0)),0))</f>
        <v/>
      </c>
      <c r="P223" s="25" t="str">
        <f aca="false">IF($C223="","",IF(N($G223)&lt;=1,0,MIN(100,LOG10($G223)/LOG10(設定!$B$43)*100)))</f>
        <v/>
      </c>
      <c r="Q223" s="25" t="str">
        <f aca="false">IF($C223="","",IFERROR(INDEX(設定!$B$21:$B$24,MATCH($H223,設定!$A$21:$A$24,0)),0))</f>
        <v/>
      </c>
      <c r="R223" s="25" t="str">
        <f aca="false">IF($C223="","",IF(設定!$B$45&lt;=0,0,MIN(100,N($I223)/設定!$B$45*100)))</f>
        <v/>
      </c>
      <c r="S223" s="25" t="str">
        <f aca="false">IF($C223="","",IFERROR(INDEX(設定!$B$27:$B$29,MATCH($J223,設定!$A$27:$A$29,0)),0))</f>
        <v/>
      </c>
      <c r="T223" s="25" t="str">
        <f aca="false">IF($C223="","",IFERROR(INDEX(設定!$B$32:$B$35,MATCH($K223,設定!$A$32:$A$35,0)),0))</f>
        <v/>
      </c>
      <c r="U223" s="25" t="str">
        <f aca="false">IF($C223="","",IF(N($L223)&lt;1,0,MIN(100,LOG10($L223+1)/LOG10(設定!$B$44+1)*100)))</f>
        <v/>
      </c>
      <c r="V223" s="25" t="str">
        <f aca="false">IF($C223="","",IF(設定!$B$11=0,0,(O223*設定!$B$4+P223*設定!$B$5+Q223*設定!$B$6+R223*設定!$B$7+S223*設定!$B$8+T223*設定!$B$9+U223*設定!$B$10)/設定!$B$11))</f>
        <v/>
      </c>
      <c r="W223" s="25" t="str">
        <f aca="false">IF($C223="","",IFERROR(INDEX(設定!$B$38:$B$40,MATCH($M223,設定!$A$38:$A$40,0)),1))</f>
        <v/>
      </c>
      <c r="X223" s="26" t="str">
        <f aca="false">IF($C223="","",ROUND(V223*W223,1))</f>
        <v/>
      </c>
      <c r="Y223" s="27" t="str">
        <f aca="false">IF($C223="","",INDEX(設定!$B$49:$B$53,MATCH(X223,設定!$A$49:$A$53,1)))</f>
        <v/>
      </c>
    </row>
    <row r="224" customFormat="false" ht="15" hidden="false" customHeight="false" outlineLevel="0" collapsed="false">
      <c r="A224" s="23" t="n">
        <v>220</v>
      </c>
      <c r="B224" s="24"/>
      <c r="C224" s="9"/>
      <c r="D224" s="9"/>
      <c r="E224" s="15"/>
      <c r="F224" s="9"/>
      <c r="G224" s="17"/>
      <c r="H224" s="9"/>
      <c r="I224" s="9"/>
      <c r="J224" s="9"/>
      <c r="K224" s="9"/>
      <c r="L224" s="17"/>
      <c r="M224" s="9"/>
      <c r="N224" s="9"/>
      <c r="O224" s="25" t="str">
        <f aca="false">IF($C224="","",IFERROR(INDEX(設定!$B$14:$B$18,MATCH($E224,設定!$A$14:$A$18,0)),0))</f>
        <v/>
      </c>
      <c r="P224" s="25" t="str">
        <f aca="false">IF($C224="","",IF(N($G224)&lt;=1,0,MIN(100,LOG10($G224)/LOG10(設定!$B$43)*100)))</f>
        <v/>
      </c>
      <c r="Q224" s="25" t="str">
        <f aca="false">IF($C224="","",IFERROR(INDEX(設定!$B$21:$B$24,MATCH($H224,設定!$A$21:$A$24,0)),0))</f>
        <v/>
      </c>
      <c r="R224" s="25" t="str">
        <f aca="false">IF($C224="","",IF(設定!$B$45&lt;=0,0,MIN(100,N($I224)/設定!$B$45*100)))</f>
        <v/>
      </c>
      <c r="S224" s="25" t="str">
        <f aca="false">IF($C224="","",IFERROR(INDEX(設定!$B$27:$B$29,MATCH($J224,設定!$A$27:$A$29,0)),0))</f>
        <v/>
      </c>
      <c r="T224" s="25" t="str">
        <f aca="false">IF($C224="","",IFERROR(INDEX(設定!$B$32:$B$35,MATCH($K224,設定!$A$32:$A$35,0)),0))</f>
        <v/>
      </c>
      <c r="U224" s="25" t="str">
        <f aca="false">IF($C224="","",IF(N($L224)&lt;1,0,MIN(100,LOG10($L224+1)/LOG10(設定!$B$44+1)*100)))</f>
        <v/>
      </c>
      <c r="V224" s="25" t="str">
        <f aca="false">IF($C224="","",IF(設定!$B$11=0,0,(O224*設定!$B$4+P224*設定!$B$5+Q224*設定!$B$6+R224*設定!$B$7+S224*設定!$B$8+T224*設定!$B$9+U224*設定!$B$10)/設定!$B$11))</f>
        <v/>
      </c>
      <c r="W224" s="25" t="str">
        <f aca="false">IF($C224="","",IFERROR(INDEX(設定!$B$38:$B$40,MATCH($M224,設定!$A$38:$A$40,0)),1))</f>
        <v/>
      </c>
      <c r="X224" s="26" t="str">
        <f aca="false">IF($C224="","",ROUND(V224*W224,1))</f>
        <v/>
      </c>
      <c r="Y224" s="27" t="str">
        <f aca="false">IF($C224="","",INDEX(設定!$B$49:$B$53,MATCH(X224,設定!$A$49:$A$53,1)))</f>
        <v/>
      </c>
    </row>
    <row r="225" customFormat="false" ht="15" hidden="false" customHeight="false" outlineLevel="0" collapsed="false">
      <c r="A225" s="23" t="n">
        <v>221</v>
      </c>
      <c r="B225" s="24"/>
      <c r="C225" s="9"/>
      <c r="D225" s="9"/>
      <c r="E225" s="15"/>
      <c r="F225" s="9"/>
      <c r="G225" s="17"/>
      <c r="H225" s="9"/>
      <c r="I225" s="9"/>
      <c r="J225" s="9"/>
      <c r="K225" s="9"/>
      <c r="L225" s="17"/>
      <c r="M225" s="9"/>
      <c r="N225" s="9"/>
      <c r="O225" s="25" t="str">
        <f aca="false">IF($C225="","",IFERROR(INDEX(設定!$B$14:$B$18,MATCH($E225,設定!$A$14:$A$18,0)),0))</f>
        <v/>
      </c>
      <c r="P225" s="25" t="str">
        <f aca="false">IF($C225="","",IF(N($G225)&lt;=1,0,MIN(100,LOG10($G225)/LOG10(設定!$B$43)*100)))</f>
        <v/>
      </c>
      <c r="Q225" s="25" t="str">
        <f aca="false">IF($C225="","",IFERROR(INDEX(設定!$B$21:$B$24,MATCH($H225,設定!$A$21:$A$24,0)),0))</f>
        <v/>
      </c>
      <c r="R225" s="25" t="str">
        <f aca="false">IF($C225="","",IF(設定!$B$45&lt;=0,0,MIN(100,N($I225)/設定!$B$45*100)))</f>
        <v/>
      </c>
      <c r="S225" s="25" t="str">
        <f aca="false">IF($C225="","",IFERROR(INDEX(設定!$B$27:$B$29,MATCH($J225,設定!$A$27:$A$29,0)),0))</f>
        <v/>
      </c>
      <c r="T225" s="25" t="str">
        <f aca="false">IF($C225="","",IFERROR(INDEX(設定!$B$32:$B$35,MATCH($K225,設定!$A$32:$A$35,0)),0))</f>
        <v/>
      </c>
      <c r="U225" s="25" t="str">
        <f aca="false">IF($C225="","",IF(N($L225)&lt;1,0,MIN(100,LOG10($L225+1)/LOG10(設定!$B$44+1)*100)))</f>
        <v/>
      </c>
      <c r="V225" s="25" t="str">
        <f aca="false">IF($C225="","",IF(設定!$B$11=0,0,(O225*設定!$B$4+P225*設定!$B$5+Q225*設定!$B$6+R225*設定!$B$7+S225*設定!$B$8+T225*設定!$B$9+U225*設定!$B$10)/設定!$B$11))</f>
        <v/>
      </c>
      <c r="W225" s="25" t="str">
        <f aca="false">IF($C225="","",IFERROR(INDEX(設定!$B$38:$B$40,MATCH($M225,設定!$A$38:$A$40,0)),1))</f>
        <v/>
      </c>
      <c r="X225" s="26" t="str">
        <f aca="false">IF($C225="","",ROUND(V225*W225,1))</f>
        <v/>
      </c>
      <c r="Y225" s="27" t="str">
        <f aca="false">IF($C225="","",INDEX(設定!$B$49:$B$53,MATCH(X225,設定!$A$49:$A$53,1)))</f>
        <v/>
      </c>
    </row>
    <row r="226" customFormat="false" ht="15" hidden="false" customHeight="false" outlineLevel="0" collapsed="false">
      <c r="A226" s="23" t="n">
        <v>222</v>
      </c>
      <c r="B226" s="24"/>
      <c r="C226" s="9"/>
      <c r="D226" s="9"/>
      <c r="E226" s="15"/>
      <c r="F226" s="9"/>
      <c r="G226" s="17"/>
      <c r="H226" s="9"/>
      <c r="I226" s="9"/>
      <c r="J226" s="9"/>
      <c r="K226" s="9"/>
      <c r="L226" s="17"/>
      <c r="M226" s="9"/>
      <c r="N226" s="9"/>
      <c r="O226" s="25" t="str">
        <f aca="false">IF($C226="","",IFERROR(INDEX(設定!$B$14:$B$18,MATCH($E226,設定!$A$14:$A$18,0)),0))</f>
        <v/>
      </c>
      <c r="P226" s="25" t="str">
        <f aca="false">IF($C226="","",IF(N($G226)&lt;=1,0,MIN(100,LOG10($G226)/LOG10(設定!$B$43)*100)))</f>
        <v/>
      </c>
      <c r="Q226" s="25" t="str">
        <f aca="false">IF($C226="","",IFERROR(INDEX(設定!$B$21:$B$24,MATCH($H226,設定!$A$21:$A$24,0)),0))</f>
        <v/>
      </c>
      <c r="R226" s="25" t="str">
        <f aca="false">IF($C226="","",IF(設定!$B$45&lt;=0,0,MIN(100,N($I226)/設定!$B$45*100)))</f>
        <v/>
      </c>
      <c r="S226" s="25" t="str">
        <f aca="false">IF($C226="","",IFERROR(INDEX(設定!$B$27:$B$29,MATCH($J226,設定!$A$27:$A$29,0)),0))</f>
        <v/>
      </c>
      <c r="T226" s="25" t="str">
        <f aca="false">IF($C226="","",IFERROR(INDEX(設定!$B$32:$B$35,MATCH($K226,設定!$A$32:$A$35,0)),0))</f>
        <v/>
      </c>
      <c r="U226" s="25" t="str">
        <f aca="false">IF($C226="","",IF(N($L226)&lt;1,0,MIN(100,LOG10($L226+1)/LOG10(設定!$B$44+1)*100)))</f>
        <v/>
      </c>
      <c r="V226" s="25" t="str">
        <f aca="false">IF($C226="","",IF(設定!$B$11=0,0,(O226*設定!$B$4+P226*設定!$B$5+Q226*設定!$B$6+R226*設定!$B$7+S226*設定!$B$8+T226*設定!$B$9+U226*設定!$B$10)/設定!$B$11))</f>
        <v/>
      </c>
      <c r="W226" s="25" t="str">
        <f aca="false">IF($C226="","",IFERROR(INDEX(設定!$B$38:$B$40,MATCH($M226,設定!$A$38:$A$40,0)),1))</f>
        <v/>
      </c>
      <c r="X226" s="26" t="str">
        <f aca="false">IF($C226="","",ROUND(V226*W226,1))</f>
        <v/>
      </c>
      <c r="Y226" s="27" t="str">
        <f aca="false">IF($C226="","",INDEX(設定!$B$49:$B$53,MATCH(X226,設定!$A$49:$A$53,1)))</f>
        <v/>
      </c>
    </row>
    <row r="227" customFormat="false" ht="15" hidden="false" customHeight="false" outlineLevel="0" collapsed="false">
      <c r="A227" s="23" t="n">
        <v>223</v>
      </c>
      <c r="B227" s="24"/>
      <c r="C227" s="9"/>
      <c r="D227" s="9"/>
      <c r="E227" s="15"/>
      <c r="F227" s="9"/>
      <c r="G227" s="17"/>
      <c r="H227" s="9"/>
      <c r="I227" s="9"/>
      <c r="J227" s="9"/>
      <c r="K227" s="9"/>
      <c r="L227" s="17"/>
      <c r="M227" s="9"/>
      <c r="N227" s="9"/>
      <c r="O227" s="25" t="str">
        <f aca="false">IF($C227="","",IFERROR(INDEX(設定!$B$14:$B$18,MATCH($E227,設定!$A$14:$A$18,0)),0))</f>
        <v/>
      </c>
      <c r="P227" s="25" t="str">
        <f aca="false">IF($C227="","",IF(N($G227)&lt;=1,0,MIN(100,LOG10($G227)/LOG10(設定!$B$43)*100)))</f>
        <v/>
      </c>
      <c r="Q227" s="25" t="str">
        <f aca="false">IF($C227="","",IFERROR(INDEX(設定!$B$21:$B$24,MATCH($H227,設定!$A$21:$A$24,0)),0))</f>
        <v/>
      </c>
      <c r="R227" s="25" t="str">
        <f aca="false">IF($C227="","",IF(設定!$B$45&lt;=0,0,MIN(100,N($I227)/設定!$B$45*100)))</f>
        <v/>
      </c>
      <c r="S227" s="25" t="str">
        <f aca="false">IF($C227="","",IFERROR(INDEX(設定!$B$27:$B$29,MATCH($J227,設定!$A$27:$A$29,0)),0))</f>
        <v/>
      </c>
      <c r="T227" s="25" t="str">
        <f aca="false">IF($C227="","",IFERROR(INDEX(設定!$B$32:$B$35,MATCH($K227,設定!$A$32:$A$35,0)),0))</f>
        <v/>
      </c>
      <c r="U227" s="25" t="str">
        <f aca="false">IF($C227="","",IF(N($L227)&lt;1,0,MIN(100,LOG10($L227+1)/LOG10(設定!$B$44+1)*100)))</f>
        <v/>
      </c>
      <c r="V227" s="25" t="str">
        <f aca="false">IF($C227="","",IF(設定!$B$11=0,0,(O227*設定!$B$4+P227*設定!$B$5+Q227*設定!$B$6+R227*設定!$B$7+S227*設定!$B$8+T227*設定!$B$9+U227*設定!$B$10)/設定!$B$11))</f>
        <v/>
      </c>
      <c r="W227" s="25" t="str">
        <f aca="false">IF($C227="","",IFERROR(INDEX(設定!$B$38:$B$40,MATCH($M227,設定!$A$38:$A$40,0)),1))</f>
        <v/>
      </c>
      <c r="X227" s="26" t="str">
        <f aca="false">IF($C227="","",ROUND(V227*W227,1))</f>
        <v/>
      </c>
      <c r="Y227" s="27" t="str">
        <f aca="false">IF($C227="","",INDEX(設定!$B$49:$B$53,MATCH(X227,設定!$A$49:$A$53,1)))</f>
        <v/>
      </c>
    </row>
    <row r="228" customFormat="false" ht="15" hidden="false" customHeight="false" outlineLevel="0" collapsed="false">
      <c r="A228" s="23" t="n">
        <v>224</v>
      </c>
      <c r="B228" s="24"/>
      <c r="C228" s="9"/>
      <c r="D228" s="9"/>
      <c r="E228" s="15"/>
      <c r="F228" s="9"/>
      <c r="G228" s="17"/>
      <c r="H228" s="9"/>
      <c r="I228" s="9"/>
      <c r="J228" s="9"/>
      <c r="K228" s="9"/>
      <c r="L228" s="17"/>
      <c r="M228" s="9"/>
      <c r="N228" s="9"/>
      <c r="O228" s="25" t="str">
        <f aca="false">IF($C228="","",IFERROR(INDEX(設定!$B$14:$B$18,MATCH($E228,設定!$A$14:$A$18,0)),0))</f>
        <v/>
      </c>
      <c r="P228" s="25" t="str">
        <f aca="false">IF($C228="","",IF(N($G228)&lt;=1,0,MIN(100,LOG10($G228)/LOG10(設定!$B$43)*100)))</f>
        <v/>
      </c>
      <c r="Q228" s="25" t="str">
        <f aca="false">IF($C228="","",IFERROR(INDEX(設定!$B$21:$B$24,MATCH($H228,設定!$A$21:$A$24,0)),0))</f>
        <v/>
      </c>
      <c r="R228" s="25" t="str">
        <f aca="false">IF($C228="","",IF(設定!$B$45&lt;=0,0,MIN(100,N($I228)/設定!$B$45*100)))</f>
        <v/>
      </c>
      <c r="S228" s="25" t="str">
        <f aca="false">IF($C228="","",IFERROR(INDEX(設定!$B$27:$B$29,MATCH($J228,設定!$A$27:$A$29,0)),0))</f>
        <v/>
      </c>
      <c r="T228" s="25" t="str">
        <f aca="false">IF($C228="","",IFERROR(INDEX(設定!$B$32:$B$35,MATCH($K228,設定!$A$32:$A$35,0)),0))</f>
        <v/>
      </c>
      <c r="U228" s="25" t="str">
        <f aca="false">IF($C228="","",IF(N($L228)&lt;1,0,MIN(100,LOG10($L228+1)/LOG10(設定!$B$44+1)*100)))</f>
        <v/>
      </c>
      <c r="V228" s="25" t="str">
        <f aca="false">IF($C228="","",IF(設定!$B$11=0,0,(O228*設定!$B$4+P228*設定!$B$5+Q228*設定!$B$6+R228*設定!$B$7+S228*設定!$B$8+T228*設定!$B$9+U228*設定!$B$10)/設定!$B$11))</f>
        <v/>
      </c>
      <c r="W228" s="25" t="str">
        <f aca="false">IF($C228="","",IFERROR(INDEX(設定!$B$38:$B$40,MATCH($M228,設定!$A$38:$A$40,0)),1))</f>
        <v/>
      </c>
      <c r="X228" s="26" t="str">
        <f aca="false">IF($C228="","",ROUND(V228*W228,1))</f>
        <v/>
      </c>
      <c r="Y228" s="27" t="str">
        <f aca="false">IF($C228="","",INDEX(設定!$B$49:$B$53,MATCH(X228,設定!$A$49:$A$53,1)))</f>
        <v/>
      </c>
    </row>
    <row r="229" customFormat="false" ht="15" hidden="false" customHeight="false" outlineLevel="0" collapsed="false">
      <c r="A229" s="23" t="n">
        <v>225</v>
      </c>
      <c r="B229" s="24"/>
      <c r="C229" s="9"/>
      <c r="D229" s="9"/>
      <c r="E229" s="15"/>
      <c r="F229" s="9"/>
      <c r="G229" s="17"/>
      <c r="H229" s="9"/>
      <c r="I229" s="9"/>
      <c r="J229" s="9"/>
      <c r="K229" s="9"/>
      <c r="L229" s="17"/>
      <c r="M229" s="9"/>
      <c r="N229" s="9"/>
      <c r="O229" s="25" t="str">
        <f aca="false">IF($C229="","",IFERROR(INDEX(設定!$B$14:$B$18,MATCH($E229,設定!$A$14:$A$18,0)),0))</f>
        <v/>
      </c>
      <c r="P229" s="25" t="str">
        <f aca="false">IF($C229="","",IF(N($G229)&lt;=1,0,MIN(100,LOG10($G229)/LOG10(設定!$B$43)*100)))</f>
        <v/>
      </c>
      <c r="Q229" s="25" t="str">
        <f aca="false">IF($C229="","",IFERROR(INDEX(設定!$B$21:$B$24,MATCH($H229,設定!$A$21:$A$24,0)),0))</f>
        <v/>
      </c>
      <c r="R229" s="25" t="str">
        <f aca="false">IF($C229="","",IF(設定!$B$45&lt;=0,0,MIN(100,N($I229)/設定!$B$45*100)))</f>
        <v/>
      </c>
      <c r="S229" s="25" t="str">
        <f aca="false">IF($C229="","",IFERROR(INDEX(設定!$B$27:$B$29,MATCH($J229,設定!$A$27:$A$29,0)),0))</f>
        <v/>
      </c>
      <c r="T229" s="25" t="str">
        <f aca="false">IF($C229="","",IFERROR(INDEX(設定!$B$32:$B$35,MATCH($K229,設定!$A$32:$A$35,0)),0))</f>
        <v/>
      </c>
      <c r="U229" s="25" t="str">
        <f aca="false">IF($C229="","",IF(N($L229)&lt;1,0,MIN(100,LOG10($L229+1)/LOG10(設定!$B$44+1)*100)))</f>
        <v/>
      </c>
      <c r="V229" s="25" t="str">
        <f aca="false">IF($C229="","",IF(設定!$B$11=0,0,(O229*設定!$B$4+P229*設定!$B$5+Q229*設定!$B$6+R229*設定!$B$7+S229*設定!$B$8+T229*設定!$B$9+U229*設定!$B$10)/設定!$B$11))</f>
        <v/>
      </c>
      <c r="W229" s="25" t="str">
        <f aca="false">IF($C229="","",IFERROR(INDEX(設定!$B$38:$B$40,MATCH($M229,設定!$A$38:$A$40,0)),1))</f>
        <v/>
      </c>
      <c r="X229" s="26" t="str">
        <f aca="false">IF($C229="","",ROUND(V229*W229,1))</f>
        <v/>
      </c>
      <c r="Y229" s="27" t="str">
        <f aca="false">IF($C229="","",INDEX(設定!$B$49:$B$53,MATCH(X229,設定!$A$49:$A$53,1)))</f>
        <v/>
      </c>
    </row>
    <row r="230" customFormat="false" ht="15" hidden="false" customHeight="false" outlineLevel="0" collapsed="false">
      <c r="A230" s="23" t="n">
        <v>226</v>
      </c>
      <c r="B230" s="24"/>
      <c r="C230" s="9"/>
      <c r="D230" s="9"/>
      <c r="E230" s="15"/>
      <c r="F230" s="9"/>
      <c r="G230" s="17"/>
      <c r="H230" s="9"/>
      <c r="I230" s="9"/>
      <c r="J230" s="9"/>
      <c r="K230" s="9"/>
      <c r="L230" s="17"/>
      <c r="M230" s="9"/>
      <c r="N230" s="9"/>
      <c r="O230" s="25" t="str">
        <f aca="false">IF($C230="","",IFERROR(INDEX(設定!$B$14:$B$18,MATCH($E230,設定!$A$14:$A$18,0)),0))</f>
        <v/>
      </c>
      <c r="P230" s="25" t="str">
        <f aca="false">IF($C230="","",IF(N($G230)&lt;=1,0,MIN(100,LOG10($G230)/LOG10(設定!$B$43)*100)))</f>
        <v/>
      </c>
      <c r="Q230" s="25" t="str">
        <f aca="false">IF($C230="","",IFERROR(INDEX(設定!$B$21:$B$24,MATCH($H230,設定!$A$21:$A$24,0)),0))</f>
        <v/>
      </c>
      <c r="R230" s="25" t="str">
        <f aca="false">IF($C230="","",IF(設定!$B$45&lt;=0,0,MIN(100,N($I230)/設定!$B$45*100)))</f>
        <v/>
      </c>
      <c r="S230" s="25" t="str">
        <f aca="false">IF($C230="","",IFERROR(INDEX(設定!$B$27:$B$29,MATCH($J230,設定!$A$27:$A$29,0)),0))</f>
        <v/>
      </c>
      <c r="T230" s="25" t="str">
        <f aca="false">IF($C230="","",IFERROR(INDEX(設定!$B$32:$B$35,MATCH($K230,設定!$A$32:$A$35,0)),0))</f>
        <v/>
      </c>
      <c r="U230" s="25" t="str">
        <f aca="false">IF($C230="","",IF(N($L230)&lt;1,0,MIN(100,LOG10($L230+1)/LOG10(設定!$B$44+1)*100)))</f>
        <v/>
      </c>
      <c r="V230" s="25" t="str">
        <f aca="false">IF($C230="","",IF(設定!$B$11=0,0,(O230*設定!$B$4+P230*設定!$B$5+Q230*設定!$B$6+R230*設定!$B$7+S230*設定!$B$8+T230*設定!$B$9+U230*設定!$B$10)/設定!$B$11))</f>
        <v/>
      </c>
      <c r="W230" s="25" t="str">
        <f aca="false">IF($C230="","",IFERROR(INDEX(設定!$B$38:$B$40,MATCH($M230,設定!$A$38:$A$40,0)),1))</f>
        <v/>
      </c>
      <c r="X230" s="26" t="str">
        <f aca="false">IF($C230="","",ROUND(V230*W230,1))</f>
        <v/>
      </c>
      <c r="Y230" s="27" t="str">
        <f aca="false">IF($C230="","",INDEX(設定!$B$49:$B$53,MATCH(X230,設定!$A$49:$A$53,1)))</f>
        <v/>
      </c>
    </row>
    <row r="231" customFormat="false" ht="15" hidden="false" customHeight="false" outlineLevel="0" collapsed="false">
      <c r="A231" s="23" t="n">
        <v>227</v>
      </c>
      <c r="B231" s="24"/>
      <c r="C231" s="9"/>
      <c r="D231" s="9"/>
      <c r="E231" s="15"/>
      <c r="F231" s="9"/>
      <c r="G231" s="17"/>
      <c r="H231" s="9"/>
      <c r="I231" s="9"/>
      <c r="J231" s="9"/>
      <c r="K231" s="9"/>
      <c r="L231" s="17"/>
      <c r="M231" s="9"/>
      <c r="N231" s="9"/>
      <c r="O231" s="25" t="str">
        <f aca="false">IF($C231="","",IFERROR(INDEX(設定!$B$14:$B$18,MATCH($E231,設定!$A$14:$A$18,0)),0))</f>
        <v/>
      </c>
      <c r="P231" s="25" t="str">
        <f aca="false">IF($C231="","",IF(N($G231)&lt;=1,0,MIN(100,LOG10($G231)/LOG10(設定!$B$43)*100)))</f>
        <v/>
      </c>
      <c r="Q231" s="25" t="str">
        <f aca="false">IF($C231="","",IFERROR(INDEX(設定!$B$21:$B$24,MATCH($H231,設定!$A$21:$A$24,0)),0))</f>
        <v/>
      </c>
      <c r="R231" s="25" t="str">
        <f aca="false">IF($C231="","",IF(設定!$B$45&lt;=0,0,MIN(100,N($I231)/設定!$B$45*100)))</f>
        <v/>
      </c>
      <c r="S231" s="25" t="str">
        <f aca="false">IF($C231="","",IFERROR(INDEX(設定!$B$27:$B$29,MATCH($J231,設定!$A$27:$A$29,0)),0))</f>
        <v/>
      </c>
      <c r="T231" s="25" t="str">
        <f aca="false">IF($C231="","",IFERROR(INDEX(設定!$B$32:$B$35,MATCH($K231,設定!$A$32:$A$35,0)),0))</f>
        <v/>
      </c>
      <c r="U231" s="25" t="str">
        <f aca="false">IF($C231="","",IF(N($L231)&lt;1,0,MIN(100,LOG10($L231+1)/LOG10(設定!$B$44+1)*100)))</f>
        <v/>
      </c>
      <c r="V231" s="25" t="str">
        <f aca="false">IF($C231="","",IF(設定!$B$11=0,0,(O231*設定!$B$4+P231*設定!$B$5+Q231*設定!$B$6+R231*設定!$B$7+S231*設定!$B$8+T231*設定!$B$9+U231*設定!$B$10)/設定!$B$11))</f>
        <v/>
      </c>
      <c r="W231" s="25" t="str">
        <f aca="false">IF($C231="","",IFERROR(INDEX(設定!$B$38:$B$40,MATCH($M231,設定!$A$38:$A$40,0)),1))</f>
        <v/>
      </c>
      <c r="X231" s="26" t="str">
        <f aca="false">IF($C231="","",ROUND(V231*W231,1))</f>
        <v/>
      </c>
      <c r="Y231" s="27" t="str">
        <f aca="false">IF($C231="","",INDEX(設定!$B$49:$B$53,MATCH(X231,設定!$A$49:$A$53,1)))</f>
        <v/>
      </c>
    </row>
    <row r="232" customFormat="false" ht="15" hidden="false" customHeight="false" outlineLevel="0" collapsed="false">
      <c r="A232" s="23" t="n">
        <v>228</v>
      </c>
      <c r="B232" s="24"/>
      <c r="C232" s="9"/>
      <c r="D232" s="9"/>
      <c r="E232" s="15"/>
      <c r="F232" s="9"/>
      <c r="G232" s="17"/>
      <c r="H232" s="9"/>
      <c r="I232" s="9"/>
      <c r="J232" s="9"/>
      <c r="K232" s="9"/>
      <c r="L232" s="17"/>
      <c r="M232" s="9"/>
      <c r="N232" s="9"/>
      <c r="O232" s="25" t="str">
        <f aca="false">IF($C232="","",IFERROR(INDEX(設定!$B$14:$B$18,MATCH($E232,設定!$A$14:$A$18,0)),0))</f>
        <v/>
      </c>
      <c r="P232" s="25" t="str">
        <f aca="false">IF($C232="","",IF(N($G232)&lt;=1,0,MIN(100,LOG10($G232)/LOG10(設定!$B$43)*100)))</f>
        <v/>
      </c>
      <c r="Q232" s="25" t="str">
        <f aca="false">IF($C232="","",IFERROR(INDEX(設定!$B$21:$B$24,MATCH($H232,設定!$A$21:$A$24,0)),0))</f>
        <v/>
      </c>
      <c r="R232" s="25" t="str">
        <f aca="false">IF($C232="","",IF(設定!$B$45&lt;=0,0,MIN(100,N($I232)/設定!$B$45*100)))</f>
        <v/>
      </c>
      <c r="S232" s="25" t="str">
        <f aca="false">IF($C232="","",IFERROR(INDEX(設定!$B$27:$B$29,MATCH($J232,設定!$A$27:$A$29,0)),0))</f>
        <v/>
      </c>
      <c r="T232" s="25" t="str">
        <f aca="false">IF($C232="","",IFERROR(INDEX(設定!$B$32:$B$35,MATCH($K232,設定!$A$32:$A$35,0)),0))</f>
        <v/>
      </c>
      <c r="U232" s="25" t="str">
        <f aca="false">IF($C232="","",IF(N($L232)&lt;1,0,MIN(100,LOG10($L232+1)/LOG10(設定!$B$44+1)*100)))</f>
        <v/>
      </c>
      <c r="V232" s="25" t="str">
        <f aca="false">IF($C232="","",IF(設定!$B$11=0,0,(O232*設定!$B$4+P232*設定!$B$5+Q232*設定!$B$6+R232*設定!$B$7+S232*設定!$B$8+T232*設定!$B$9+U232*設定!$B$10)/設定!$B$11))</f>
        <v/>
      </c>
      <c r="W232" s="25" t="str">
        <f aca="false">IF($C232="","",IFERROR(INDEX(設定!$B$38:$B$40,MATCH($M232,設定!$A$38:$A$40,0)),1))</f>
        <v/>
      </c>
      <c r="X232" s="26" t="str">
        <f aca="false">IF($C232="","",ROUND(V232*W232,1))</f>
        <v/>
      </c>
      <c r="Y232" s="27" t="str">
        <f aca="false">IF($C232="","",INDEX(設定!$B$49:$B$53,MATCH(X232,設定!$A$49:$A$53,1)))</f>
        <v/>
      </c>
    </row>
    <row r="233" customFormat="false" ht="15" hidden="false" customHeight="false" outlineLevel="0" collapsed="false">
      <c r="A233" s="23" t="n">
        <v>229</v>
      </c>
      <c r="B233" s="24"/>
      <c r="C233" s="9"/>
      <c r="D233" s="9"/>
      <c r="E233" s="15"/>
      <c r="F233" s="9"/>
      <c r="G233" s="17"/>
      <c r="H233" s="9"/>
      <c r="I233" s="9"/>
      <c r="J233" s="9"/>
      <c r="K233" s="9"/>
      <c r="L233" s="17"/>
      <c r="M233" s="9"/>
      <c r="N233" s="9"/>
      <c r="O233" s="25" t="str">
        <f aca="false">IF($C233="","",IFERROR(INDEX(設定!$B$14:$B$18,MATCH($E233,設定!$A$14:$A$18,0)),0))</f>
        <v/>
      </c>
      <c r="P233" s="25" t="str">
        <f aca="false">IF($C233="","",IF(N($G233)&lt;=1,0,MIN(100,LOG10($G233)/LOG10(設定!$B$43)*100)))</f>
        <v/>
      </c>
      <c r="Q233" s="25" t="str">
        <f aca="false">IF($C233="","",IFERROR(INDEX(設定!$B$21:$B$24,MATCH($H233,設定!$A$21:$A$24,0)),0))</f>
        <v/>
      </c>
      <c r="R233" s="25" t="str">
        <f aca="false">IF($C233="","",IF(設定!$B$45&lt;=0,0,MIN(100,N($I233)/設定!$B$45*100)))</f>
        <v/>
      </c>
      <c r="S233" s="25" t="str">
        <f aca="false">IF($C233="","",IFERROR(INDEX(設定!$B$27:$B$29,MATCH($J233,設定!$A$27:$A$29,0)),0))</f>
        <v/>
      </c>
      <c r="T233" s="25" t="str">
        <f aca="false">IF($C233="","",IFERROR(INDEX(設定!$B$32:$B$35,MATCH($K233,設定!$A$32:$A$35,0)),0))</f>
        <v/>
      </c>
      <c r="U233" s="25" t="str">
        <f aca="false">IF($C233="","",IF(N($L233)&lt;1,0,MIN(100,LOG10($L233+1)/LOG10(設定!$B$44+1)*100)))</f>
        <v/>
      </c>
      <c r="V233" s="25" t="str">
        <f aca="false">IF($C233="","",IF(設定!$B$11=0,0,(O233*設定!$B$4+P233*設定!$B$5+Q233*設定!$B$6+R233*設定!$B$7+S233*設定!$B$8+T233*設定!$B$9+U233*設定!$B$10)/設定!$B$11))</f>
        <v/>
      </c>
      <c r="W233" s="25" t="str">
        <f aca="false">IF($C233="","",IFERROR(INDEX(設定!$B$38:$B$40,MATCH($M233,設定!$A$38:$A$40,0)),1))</f>
        <v/>
      </c>
      <c r="X233" s="26" t="str">
        <f aca="false">IF($C233="","",ROUND(V233*W233,1))</f>
        <v/>
      </c>
      <c r="Y233" s="27" t="str">
        <f aca="false">IF($C233="","",INDEX(設定!$B$49:$B$53,MATCH(X233,設定!$A$49:$A$53,1)))</f>
        <v/>
      </c>
    </row>
    <row r="234" customFormat="false" ht="15" hidden="false" customHeight="false" outlineLevel="0" collapsed="false">
      <c r="A234" s="23" t="n">
        <v>230</v>
      </c>
      <c r="B234" s="24"/>
      <c r="C234" s="9"/>
      <c r="D234" s="9"/>
      <c r="E234" s="15"/>
      <c r="F234" s="9"/>
      <c r="G234" s="17"/>
      <c r="H234" s="9"/>
      <c r="I234" s="9"/>
      <c r="J234" s="9"/>
      <c r="K234" s="9"/>
      <c r="L234" s="17"/>
      <c r="M234" s="9"/>
      <c r="N234" s="9"/>
      <c r="O234" s="25" t="str">
        <f aca="false">IF($C234="","",IFERROR(INDEX(設定!$B$14:$B$18,MATCH($E234,設定!$A$14:$A$18,0)),0))</f>
        <v/>
      </c>
      <c r="P234" s="25" t="str">
        <f aca="false">IF($C234="","",IF(N($G234)&lt;=1,0,MIN(100,LOG10($G234)/LOG10(設定!$B$43)*100)))</f>
        <v/>
      </c>
      <c r="Q234" s="25" t="str">
        <f aca="false">IF($C234="","",IFERROR(INDEX(設定!$B$21:$B$24,MATCH($H234,設定!$A$21:$A$24,0)),0))</f>
        <v/>
      </c>
      <c r="R234" s="25" t="str">
        <f aca="false">IF($C234="","",IF(設定!$B$45&lt;=0,0,MIN(100,N($I234)/設定!$B$45*100)))</f>
        <v/>
      </c>
      <c r="S234" s="25" t="str">
        <f aca="false">IF($C234="","",IFERROR(INDEX(設定!$B$27:$B$29,MATCH($J234,設定!$A$27:$A$29,0)),0))</f>
        <v/>
      </c>
      <c r="T234" s="25" t="str">
        <f aca="false">IF($C234="","",IFERROR(INDEX(設定!$B$32:$B$35,MATCH($K234,設定!$A$32:$A$35,0)),0))</f>
        <v/>
      </c>
      <c r="U234" s="25" t="str">
        <f aca="false">IF($C234="","",IF(N($L234)&lt;1,0,MIN(100,LOG10($L234+1)/LOG10(設定!$B$44+1)*100)))</f>
        <v/>
      </c>
      <c r="V234" s="25" t="str">
        <f aca="false">IF($C234="","",IF(設定!$B$11=0,0,(O234*設定!$B$4+P234*設定!$B$5+Q234*設定!$B$6+R234*設定!$B$7+S234*設定!$B$8+T234*設定!$B$9+U234*設定!$B$10)/設定!$B$11))</f>
        <v/>
      </c>
      <c r="W234" s="25" t="str">
        <f aca="false">IF($C234="","",IFERROR(INDEX(設定!$B$38:$B$40,MATCH($M234,設定!$A$38:$A$40,0)),1))</f>
        <v/>
      </c>
      <c r="X234" s="26" t="str">
        <f aca="false">IF($C234="","",ROUND(V234*W234,1))</f>
        <v/>
      </c>
      <c r="Y234" s="27" t="str">
        <f aca="false">IF($C234="","",INDEX(設定!$B$49:$B$53,MATCH(X234,設定!$A$49:$A$53,1)))</f>
        <v/>
      </c>
    </row>
    <row r="235" customFormat="false" ht="15" hidden="false" customHeight="false" outlineLevel="0" collapsed="false">
      <c r="A235" s="23" t="n">
        <v>231</v>
      </c>
      <c r="B235" s="24"/>
      <c r="C235" s="9"/>
      <c r="D235" s="9"/>
      <c r="E235" s="15"/>
      <c r="F235" s="9"/>
      <c r="G235" s="17"/>
      <c r="H235" s="9"/>
      <c r="I235" s="9"/>
      <c r="J235" s="9"/>
      <c r="K235" s="9"/>
      <c r="L235" s="17"/>
      <c r="M235" s="9"/>
      <c r="N235" s="9"/>
      <c r="O235" s="25" t="str">
        <f aca="false">IF($C235="","",IFERROR(INDEX(設定!$B$14:$B$18,MATCH($E235,設定!$A$14:$A$18,0)),0))</f>
        <v/>
      </c>
      <c r="P235" s="25" t="str">
        <f aca="false">IF($C235="","",IF(N($G235)&lt;=1,0,MIN(100,LOG10($G235)/LOG10(設定!$B$43)*100)))</f>
        <v/>
      </c>
      <c r="Q235" s="25" t="str">
        <f aca="false">IF($C235="","",IFERROR(INDEX(設定!$B$21:$B$24,MATCH($H235,設定!$A$21:$A$24,0)),0))</f>
        <v/>
      </c>
      <c r="R235" s="25" t="str">
        <f aca="false">IF($C235="","",IF(設定!$B$45&lt;=0,0,MIN(100,N($I235)/設定!$B$45*100)))</f>
        <v/>
      </c>
      <c r="S235" s="25" t="str">
        <f aca="false">IF($C235="","",IFERROR(INDEX(設定!$B$27:$B$29,MATCH($J235,設定!$A$27:$A$29,0)),0))</f>
        <v/>
      </c>
      <c r="T235" s="25" t="str">
        <f aca="false">IF($C235="","",IFERROR(INDEX(設定!$B$32:$B$35,MATCH($K235,設定!$A$32:$A$35,0)),0))</f>
        <v/>
      </c>
      <c r="U235" s="25" t="str">
        <f aca="false">IF($C235="","",IF(N($L235)&lt;1,0,MIN(100,LOG10($L235+1)/LOG10(設定!$B$44+1)*100)))</f>
        <v/>
      </c>
      <c r="V235" s="25" t="str">
        <f aca="false">IF($C235="","",IF(設定!$B$11=0,0,(O235*設定!$B$4+P235*設定!$B$5+Q235*設定!$B$6+R235*設定!$B$7+S235*設定!$B$8+T235*設定!$B$9+U235*設定!$B$10)/設定!$B$11))</f>
        <v/>
      </c>
      <c r="W235" s="25" t="str">
        <f aca="false">IF($C235="","",IFERROR(INDEX(設定!$B$38:$B$40,MATCH($M235,設定!$A$38:$A$40,0)),1))</f>
        <v/>
      </c>
      <c r="X235" s="26" t="str">
        <f aca="false">IF($C235="","",ROUND(V235*W235,1))</f>
        <v/>
      </c>
      <c r="Y235" s="27" t="str">
        <f aca="false">IF($C235="","",INDEX(設定!$B$49:$B$53,MATCH(X235,設定!$A$49:$A$53,1)))</f>
        <v/>
      </c>
    </row>
    <row r="236" customFormat="false" ht="15" hidden="false" customHeight="false" outlineLevel="0" collapsed="false">
      <c r="A236" s="23" t="n">
        <v>232</v>
      </c>
      <c r="B236" s="24"/>
      <c r="C236" s="9"/>
      <c r="D236" s="9"/>
      <c r="E236" s="15"/>
      <c r="F236" s="9"/>
      <c r="G236" s="17"/>
      <c r="H236" s="9"/>
      <c r="I236" s="9"/>
      <c r="J236" s="9"/>
      <c r="K236" s="9"/>
      <c r="L236" s="17"/>
      <c r="M236" s="9"/>
      <c r="N236" s="9"/>
      <c r="O236" s="25" t="str">
        <f aca="false">IF($C236="","",IFERROR(INDEX(設定!$B$14:$B$18,MATCH($E236,設定!$A$14:$A$18,0)),0))</f>
        <v/>
      </c>
      <c r="P236" s="25" t="str">
        <f aca="false">IF($C236="","",IF(N($G236)&lt;=1,0,MIN(100,LOG10($G236)/LOG10(設定!$B$43)*100)))</f>
        <v/>
      </c>
      <c r="Q236" s="25" t="str">
        <f aca="false">IF($C236="","",IFERROR(INDEX(設定!$B$21:$B$24,MATCH($H236,設定!$A$21:$A$24,0)),0))</f>
        <v/>
      </c>
      <c r="R236" s="25" t="str">
        <f aca="false">IF($C236="","",IF(設定!$B$45&lt;=0,0,MIN(100,N($I236)/設定!$B$45*100)))</f>
        <v/>
      </c>
      <c r="S236" s="25" t="str">
        <f aca="false">IF($C236="","",IFERROR(INDEX(設定!$B$27:$B$29,MATCH($J236,設定!$A$27:$A$29,0)),0))</f>
        <v/>
      </c>
      <c r="T236" s="25" t="str">
        <f aca="false">IF($C236="","",IFERROR(INDEX(設定!$B$32:$B$35,MATCH($K236,設定!$A$32:$A$35,0)),0))</f>
        <v/>
      </c>
      <c r="U236" s="25" t="str">
        <f aca="false">IF($C236="","",IF(N($L236)&lt;1,0,MIN(100,LOG10($L236+1)/LOG10(設定!$B$44+1)*100)))</f>
        <v/>
      </c>
      <c r="V236" s="25" t="str">
        <f aca="false">IF($C236="","",IF(設定!$B$11=0,0,(O236*設定!$B$4+P236*設定!$B$5+Q236*設定!$B$6+R236*設定!$B$7+S236*設定!$B$8+T236*設定!$B$9+U236*設定!$B$10)/設定!$B$11))</f>
        <v/>
      </c>
      <c r="W236" s="25" t="str">
        <f aca="false">IF($C236="","",IFERROR(INDEX(設定!$B$38:$B$40,MATCH($M236,設定!$A$38:$A$40,0)),1))</f>
        <v/>
      </c>
      <c r="X236" s="26" t="str">
        <f aca="false">IF($C236="","",ROUND(V236*W236,1))</f>
        <v/>
      </c>
      <c r="Y236" s="27" t="str">
        <f aca="false">IF($C236="","",INDEX(設定!$B$49:$B$53,MATCH(X236,設定!$A$49:$A$53,1)))</f>
        <v/>
      </c>
    </row>
    <row r="237" customFormat="false" ht="15" hidden="false" customHeight="false" outlineLevel="0" collapsed="false">
      <c r="A237" s="23" t="n">
        <v>233</v>
      </c>
      <c r="B237" s="24"/>
      <c r="C237" s="9"/>
      <c r="D237" s="9"/>
      <c r="E237" s="15"/>
      <c r="F237" s="9"/>
      <c r="G237" s="17"/>
      <c r="H237" s="9"/>
      <c r="I237" s="9"/>
      <c r="J237" s="9"/>
      <c r="K237" s="9"/>
      <c r="L237" s="17"/>
      <c r="M237" s="9"/>
      <c r="N237" s="9"/>
      <c r="O237" s="25" t="str">
        <f aca="false">IF($C237="","",IFERROR(INDEX(設定!$B$14:$B$18,MATCH($E237,設定!$A$14:$A$18,0)),0))</f>
        <v/>
      </c>
      <c r="P237" s="25" t="str">
        <f aca="false">IF($C237="","",IF(N($G237)&lt;=1,0,MIN(100,LOG10($G237)/LOG10(設定!$B$43)*100)))</f>
        <v/>
      </c>
      <c r="Q237" s="25" t="str">
        <f aca="false">IF($C237="","",IFERROR(INDEX(設定!$B$21:$B$24,MATCH($H237,設定!$A$21:$A$24,0)),0))</f>
        <v/>
      </c>
      <c r="R237" s="25" t="str">
        <f aca="false">IF($C237="","",IF(設定!$B$45&lt;=0,0,MIN(100,N($I237)/設定!$B$45*100)))</f>
        <v/>
      </c>
      <c r="S237" s="25" t="str">
        <f aca="false">IF($C237="","",IFERROR(INDEX(設定!$B$27:$B$29,MATCH($J237,設定!$A$27:$A$29,0)),0))</f>
        <v/>
      </c>
      <c r="T237" s="25" t="str">
        <f aca="false">IF($C237="","",IFERROR(INDEX(設定!$B$32:$B$35,MATCH($K237,設定!$A$32:$A$35,0)),0))</f>
        <v/>
      </c>
      <c r="U237" s="25" t="str">
        <f aca="false">IF($C237="","",IF(N($L237)&lt;1,0,MIN(100,LOG10($L237+1)/LOG10(設定!$B$44+1)*100)))</f>
        <v/>
      </c>
      <c r="V237" s="25" t="str">
        <f aca="false">IF($C237="","",IF(設定!$B$11=0,0,(O237*設定!$B$4+P237*設定!$B$5+Q237*設定!$B$6+R237*設定!$B$7+S237*設定!$B$8+T237*設定!$B$9+U237*設定!$B$10)/設定!$B$11))</f>
        <v/>
      </c>
      <c r="W237" s="25" t="str">
        <f aca="false">IF($C237="","",IFERROR(INDEX(設定!$B$38:$B$40,MATCH($M237,設定!$A$38:$A$40,0)),1))</f>
        <v/>
      </c>
      <c r="X237" s="26" t="str">
        <f aca="false">IF($C237="","",ROUND(V237*W237,1))</f>
        <v/>
      </c>
      <c r="Y237" s="27" t="str">
        <f aca="false">IF($C237="","",INDEX(設定!$B$49:$B$53,MATCH(X237,設定!$A$49:$A$53,1)))</f>
        <v/>
      </c>
    </row>
    <row r="238" customFormat="false" ht="15" hidden="false" customHeight="false" outlineLevel="0" collapsed="false">
      <c r="A238" s="23" t="n">
        <v>234</v>
      </c>
      <c r="B238" s="24"/>
      <c r="C238" s="9"/>
      <c r="D238" s="9"/>
      <c r="E238" s="15"/>
      <c r="F238" s="9"/>
      <c r="G238" s="17"/>
      <c r="H238" s="9"/>
      <c r="I238" s="9"/>
      <c r="J238" s="9"/>
      <c r="K238" s="9"/>
      <c r="L238" s="17"/>
      <c r="M238" s="9"/>
      <c r="N238" s="9"/>
      <c r="O238" s="25" t="str">
        <f aca="false">IF($C238="","",IFERROR(INDEX(設定!$B$14:$B$18,MATCH($E238,設定!$A$14:$A$18,0)),0))</f>
        <v/>
      </c>
      <c r="P238" s="25" t="str">
        <f aca="false">IF($C238="","",IF(N($G238)&lt;=1,0,MIN(100,LOG10($G238)/LOG10(設定!$B$43)*100)))</f>
        <v/>
      </c>
      <c r="Q238" s="25" t="str">
        <f aca="false">IF($C238="","",IFERROR(INDEX(設定!$B$21:$B$24,MATCH($H238,設定!$A$21:$A$24,0)),0))</f>
        <v/>
      </c>
      <c r="R238" s="25" t="str">
        <f aca="false">IF($C238="","",IF(設定!$B$45&lt;=0,0,MIN(100,N($I238)/設定!$B$45*100)))</f>
        <v/>
      </c>
      <c r="S238" s="25" t="str">
        <f aca="false">IF($C238="","",IFERROR(INDEX(設定!$B$27:$B$29,MATCH($J238,設定!$A$27:$A$29,0)),0))</f>
        <v/>
      </c>
      <c r="T238" s="25" t="str">
        <f aca="false">IF($C238="","",IFERROR(INDEX(設定!$B$32:$B$35,MATCH($K238,設定!$A$32:$A$35,0)),0))</f>
        <v/>
      </c>
      <c r="U238" s="25" t="str">
        <f aca="false">IF($C238="","",IF(N($L238)&lt;1,0,MIN(100,LOG10($L238+1)/LOG10(設定!$B$44+1)*100)))</f>
        <v/>
      </c>
      <c r="V238" s="25" t="str">
        <f aca="false">IF($C238="","",IF(設定!$B$11=0,0,(O238*設定!$B$4+P238*設定!$B$5+Q238*設定!$B$6+R238*設定!$B$7+S238*設定!$B$8+T238*設定!$B$9+U238*設定!$B$10)/設定!$B$11))</f>
        <v/>
      </c>
      <c r="W238" s="25" t="str">
        <f aca="false">IF($C238="","",IFERROR(INDEX(設定!$B$38:$B$40,MATCH($M238,設定!$A$38:$A$40,0)),1))</f>
        <v/>
      </c>
      <c r="X238" s="26" t="str">
        <f aca="false">IF($C238="","",ROUND(V238*W238,1))</f>
        <v/>
      </c>
      <c r="Y238" s="27" t="str">
        <f aca="false">IF($C238="","",INDEX(設定!$B$49:$B$53,MATCH(X238,設定!$A$49:$A$53,1)))</f>
        <v/>
      </c>
    </row>
    <row r="239" customFormat="false" ht="15" hidden="false" customHeight="false" outlineLevel="0" collapsed="false">
      <c r="A239" s="23" t="n">
        <v>235</v>
      </c>
      <c r="B239" s="24"/>
      <c r="C239" s="9"/>
      <c r="D239" s="9"/>
      <c r="E239" s="15"/>
      <c r="F239" s="9"/>
      <c r="G239" s="17"/>
      <c r="H239" s="9"/>
      <c r="I239" s="9"/>
      <c r="J239" s="9"/>
      <c r="K239" s="9"/>
      <c r="L239" s="17"/>
      <c r="M239" s="9"/>
      <c r="N239" s="9"/>
      <c r="O239" s="25" t="str">
        <f aca="false">IF($C239="","",IFERROR(INDEX(設定!$B$14:$B$18,MATCH($E239,設定!$A$14:$A$18,0)),0))</f>
        <v/>
      </c>
      <c r="P239" s="25" t="str">
        <f aca="false">IF($C239="","",IF(N($G239)&lt;=1,0,MIN(100,LOG10($G239)/LOG10(設定!$B$43)*100)))</f>
        <v/>
      </c>
      <c r="Q239" s="25" t="str">
        <f aca="false">IF($C239="","",IFERROR(INDEX(設定!$B$21:$B$24,MATCH($H239,設定!$A$21:$A$24,0)),0))</f>
        <v/>
      </c>
      <c r="R239" s="25" t="str">
        <f aca="false">IF($C239="","",IF(設定!$B$45&lt;=0,0,MIN(100,N($I239)/設定!$B$45*100)))</f>
        <v/>
      </c>
      <c r="S239" s="25" t="str">
        <f aca="false">IF($C239="","",IFERROR(INDEX(設定!$B$27:$B$29,MATCH($J239,設定!$A$27:$A$29,0)),0))</f>
        <v/>
      </c>
      <c r="T239" s="25" t="str">
        <f aca="false">IF($C239="","",IFERROR(INDEX(設定!$B$32:$B$35,MATCH($K239,設定!$A$32:$A$35,0)),0))</f>
        <v/>
      </c>
      <c r="U239" s="25" t="str">
        <f aca="false">IF($C239="","",IF(N($L239)&lt;1,0,MIN(100,LOG10($L239+1)/LOG10(設定!$B$44+1)*100)))</f>
        <v/>
      </c>
      <c r="V239" s="25" t="str">
        <f aca="false">IF($C239="","",IF(設定!$B$11=0,0,(O239*設定!$B$4+P239*設定!$B$5+Q239*設定!$B$6+R239*設定!$B$7+S239*設定!$B$8+T239*設定!$B$9+U239*設定!$B$10)/設定!$B$11))</f>
        <v/>
      </c>
      <c r="W239" s="25" t="str">
        <f aca="false">IF($C239="","",IFERROR(INDEX(設定!$B$38:$B$40,MATCH($M239,設定!$A$38:$A$40,0)),1))</f>
        <v/>
      </c>
      <c r="X239" s="26" t="str">
        <f aca="false">IF($C239="","",ROUND(V239*W239,1))</f>
        <v/>
      </c>
      <c r="Y239" s="27" t="str">
        <f aca="false">IF($C239="","",INDEX(設定!$B$49:$B$53,MATCH(X239,設定!$A$49:$A$53,1)))</f>
        <v/>
      </c>
    </row>
    <row r="240" customFormat="false" ht="15" hidden="false" customHeight="false" outlineLevel="0" collapsed="false">
      <c r="A240" s="23" t="n">
        <v>236</v>
      </c>
      <c r="B240" s="24"/>
      <c r="C240" s="9"/>
      <c r="D240" s="9"/>
      <c r="E240" s="15"/>
      <c r="F240" s="9"/>
      <c r="G240" s="17"/>
      <c r="H240" s="9"/>
      <c r="I240" s="9"/>
      <c r="J240" s="9"/>
      <c r="K240" s="9"/>
      <c r="L240" s="17"/>
      <c r="M240" s="9"/>
      <c r="N240" s="9"/>
      <c r="O240" s="25" t="str">
        <f aca="false">IF($C240="","",IFERROR(INDEX(設定!$B$14:$B$18,MATCH($E240,設定!$A$14:$A$18,0)),0))</f>
        <v/>
      </c>
      <c r="P240" s="25" t="str">
        <f aca="false">IF($C240="","",IF(N($G240)&lt;=1,0,MIN(100,LOG10($G240)/LOG10(設定!$B$43)*100)))</f>
        <v/>
      </c>
      <c r="Q240" s="25" t="str">
        <f aca="false">IF($C240="","",IFERROR(INDEX(設定!$B$21:$B$24,MATCH($H240,設定!$A$21:$A$24,0)),0))</f>
        <v/>
      </c>
      <c r="R240" s="25" t="str">
        <f aca="false">IF($C240="","",IF(設定!$B$45&lt;=0,0,MIN(100,N($I240)/設定!$B$45*100)))</f>
        <v/>
      </c>
      <c r="S240" s="25" t="str">
        <f aca="false">IF($C240="","",IFERROR(INDEX(設定!$B$27:$B$29,MATCH($J240,設定!$A$27:$A$29,0)),0))</f>
        <v/>
      </c>
      <c r="T240" s="25" t="str">
        <f aca="false">IF($C240="","",IFERROR(INDEX(設定!$B$32:$B$35,MATCH($K240,設定!$A$32:$A$35,0)),0))</f>
        <v/>
      </c>
      <c r="U240" s="25" t="str">
        <f aca="false">IF($C240="","",IF(N($L240)&lt;1,0,MIN(100,LOG10($L240+1)/LOG10(設定!$B$44+1)*100)))</f>
        <v/>
      </c>
      <c r="V240" s="25" t="str">
        <f aca="false">IF($C240="","",IF(設定!$B$11=0,0,(O240*設定!$B$4+P240*設定!$B$5+Q240*設定!$B$6+R240*設定!$B$7+S240*設定!$B$8+T240*設定!$B$9+U240*設定!$B$10)/設定!$B$11))</f>
        <v/>
      </c>
      <c r="W240" s="25" t="str">
        <f aca="false">IF($C240="","",IFERROR(INDEX(設定!$B$38:$B$40,MATCH($M240,設定!$A$38:$A$40,0)),1))</f>
        <v/>
      </c>
      <c r="X240" s="26" t="str">
        <f aca="false">IF($C240="","",ROUND(V240*W240,1))</f>
        <v/>
      </c>
      <c r="Y240" s="27" t="str">
        <f aca="false">IF($C240="","",INDEX(設定!$B$49:$B$53,MATCH(X240,設定!$A$49:$A$53,1)))</f>
        <v/>
      </c>
    </row>
    <row r="241" customFormat="false" ht="15" hidden="false" customHeight="false" outlineLevel="0" collapsed="false">
      <c r="A241" s="23" t="n">
        <v>237</v>
      </c>
      <c r="B241" s="24"/>
      <c r="C241" s="9"/>
      <c r="D241" s="9"/>
      <c r="E241" s="15"/>
      <c r="F241" s="9"/>
      <c r="G241" s="17"/>
      <c r="H241" s="9"/>
      <c r="I241" s="9"/>
      <c r="J241" s="9"/>
      <c r="K241" s="9"/>
      <c r="L241" s="17"/>
      <c r="M241" s="9"/>
      <c r="N241" s="9"/>
      <c r="O241" s="25" t="str">
        <f aca="false">IF($C241="","",IFERROR(INDEX(設定!$B$14:$B$18,MATCH($E241,設定!$A$14:$A$18,0)),0))</f>
        <v/>
      </c>
      <c r="P241" s="25" t="str">
        <f aca="false">IF($C241="","",IF(N($G241)&lt;=1,0,MIN(100,LOG10($G241)/LOG10(設定!$B$43)*100)))</f>
        <v/>
      </c>
      <c r="Q241" s="25" t="str">
        <f aca="false">IF($C241="","",IFERROR(INDEX(設定!$B$21:$B$24,MATCH($H241,設定!$A$21:$A$24,0)),0))</f>
        <v/>
      </c>
      <c r="R241" s="25" t="str">
        <f aca="false">IF($C241="","",IF(設定!$B$45&lt;=0,0,MIN(100,N($I241)/設定!$B$45*100)))</f>
        <v/>
      </c>
      <c r="S241" s="25" t="str">
        <f aca="false">IF($C241="","",IFERROR(INDEX(設定!$B$27:$B$29,MATCH($J241,設定!$A$27:$A$29,0)),0))</f>
        <v/>
      </c>
      <c r="T241" s="25" t="str">
        <f aca="false">IF($C241="","",IFERROR(INDEX(設定!$B$32:$B$35,MATCH($K241,設定!$A$32:$A$35,0)),0))</f>
        <v/>
      </c>
      <c r="U241" s="25" t="str">
        <f aca="false">IF($C241="","",IF(N($L241)&lt;1,0,MIN(100,LOG10($L241+1)/LOG10(設定!$B$44+1)*100)))</f>
        <v/>
      </c>
      <c r="V241" s="25" t="str">
        <f aca="false">IF($C241="","",IF(設定!$B$11=0,0,(O241*設定!$B$4+P241*設定!$B$5+Q241*設定!$B$6+R241*設定!$B$7+S241*設定!$B$8+T241*設定!$B$9+U241*設定!$B$10)/設定!$B$11))</f>
        <v/>
      </c>
      <c r="W241" s="25" t="str">
        <f aca="false">IF($C241="","",IFERROR(INDEX(設定!$B$38:$B$40,MATCH($M241,設定!$A$38:$A$40,0)),1))</f>
        <v/>
      </c>
      <c r="X241" s="26" t="str">
        <f aca="false">IF($C241="","",ROUND(V241*W241,1))</f>
        <v/>
      </c>
      <c r="Y241" s="27" t="str">
        <f aca="false">IF($C241="","",INDEX(設定!$B$49:$B$53,MATCH(X241,設定!$A$49:$A$53,1)))</f>
        <v/>
      </c>
    </row>
    <row r="242" customFormat="false" ht="15" hidden="false" customHeight="false" outlineLevel="0" collapsed="false">
      <c r="A242" s="23" t="n">
        <v>238</v>
      </c>
      <c r="B242" s="24"/>
      <c r="C242" s="9"/>
      <c r="D242" s="9"/>
      <c r="E242" s="15"/>
      <c r="F242" s="9"/>
      <c r="G242" s="17"/>
      <c r="H242" s="9"/>
      <c r="I242" s="9"/>
      <c r="J242" s="9"/>
      <c r="K242" s="9"/>
      <c r="L242" s="17"/>
      <c r="M242" s="9"/>
      <c r="N242" s="9"/>
      <c r="O242" s="25" t="str">
        <f aca="false">IF($C242="","",IFERROR(INDEX(設定!$B$14:$B$18,MATCH($E242,設定!$A$14:$A$18,0)),0))</f>
        <v/>
      </c>
      <c r="P242" s="25" t="str">
        <f aca="false">IF($C242="","",IF(N($G242)&lt;=1,0,MIN(100,LOG10($G242)/LOG10(設定!$B$43)*100)))</f>
        <v/>
      </c>
      <c r="Q242" s="25" t="str">
        <f aca="false">IF($C242="","",IFERROR(INDEX(設定!$B$21:$B$24,MATCH($H242,設定!$A$21:$A$24,0)),0))</f>
        <v/>
      </c>
      <c r="R242" s="25" t="str">
        <f aca="false">IF($C242="","",IF(設定!$B$45&lt;=0,0,MIN(100,N($I242)/設定!$B$45*100)))</f>
        <v/>
      </c>
      <c r="S242" s="25" t="str">
        <f aca="false">IF($C242="","",IFERROR(INDEX(設定!$B$27:$B$29,MATCH($J242,設定!$A$27:$A$29,0)),0))</f>
        <v/>
      </c>
      <c r="T242" s="25" t="str">
        <f aca="false">IF($C242="","",IFERROR(INDEX(設定!$B$32:$B$35,MATCH($K242,設定!$A$32:$A$35,0)),0))</f>
        <v/>
      </c>
      <c r="U242" s="25" t="str">
        <f aca="false">IF($C242="","",IF(N($L242)&lt;1,0,MIN(100,LOG10($L242+1)/LOG10(設定!$B$44+1)*100)))</f>
        <v/>
      </c>
      <c r="V242" s="25" t="str">
        <f aca="false">IF($C242="","",IF(設定!$B$11=0,0,(O242*設定!$B$4+P242*設定!$B$5+Q242*設定!$B$6+R242*設定!$B$7+S242*設定!$B$8+T242*設定!$B$9+U242*設定!$B$10)/設定!$B$11))</f>
        <v/>
      </c>
      <c r="W242" s="25" t="str">
        <f aca="false">IF($C242="","",IFERROR(INDEX(設定!$B$38:$B$40,MATCH($M242,設定!$A$38:$A$40,0)),1))</f>
        <v/>
      </c>
      <c r="X242" s="26" t="str">
        <f aca="false">IF($C242="","",ROUND(V242*W242,1))</f>
        <v/>
      </c>
      <c r="Y242" s="27" t="str">
        <f aca="false">IF($C242="","",INDEX(設定!$B$49:$B$53,MATCH(X242,設定!$A$49:$A$53,1)))</f>
        <v/>
      </c>
    </row>
    <row r="243" customFormat="false" ht="15" hidden="false" customHeight="false" outlineLevel="0" collapsed="false">
      <c r="A243" s="23" t="n">
        <v>239</v>
      </c>
      <c r="B243" s="24"/>
      <c r="C243" s="9"/>
      <c r="D243" s="9"/>
      <c r="E243" s="15"/>
      <c r="F243" s="9"/>
      <c r="G243" s="17"/>
      <c r="H243" s="9"/>
      <c r="I243" s="9"/>
      <c r="J243" s="9"/>
      <c r="K243" s="9"/>
      <c r="L243" s="17"/>
      <c r="M243" s="9"/>
      <c r="N243" s="9"/>
      <c r="O243" s="25" t="str">
        <f aca="false">IF($C243="","",IFERROR(INDEX(設定!$B$14:$B$18,MATCH($E243,設定!$A$14:$A$18,0)),0))</f>
        <v/>
      </c>
      <c r="P243" s="25" t="str">
        <f aca="false">IF($C243="","",IF(N($G243)&lt;=1,0,MIN(100,LOG10($G243)/LOG10(設定!$B$43)*100)))</f>
        <v/>
      </c>
      <c r="Q243" s="25" t="str">
        <f aca="false">IF($C243="","",IFERROR(INDEX(設定!$B$21:$B$24,MATCH($H243,設定!$A$21:$A$24,0)),0))</f>
        <v/>
      </c>
      <c r="R243" s="25" t="str">
        <f aca="false">IF($C243="","",IF(設定!$B$45&lt;=0,0,MIN(100,N($I243)/設定!$B$45*100)))</f>
        <v/>
      </c>
      <c r="S243" s="25" t="str">
        <f aca="false">IF($C243="","",IFERROR(INDEX(設定!$B$27:$B$29,MATCH($J243,設定!$A$27:$A$29,0)),0))</f>
        <v/>
      </c>
      <c r="T243" s="25" t="str">
        <f aca="false">IF($C243="","",IFERROR(INDEX(設定!$B$32:$B$35,MATCH($K243,設定!$A$32:$A$35,0)),0))</f>
        <v/>
      </c>
      <c r="U243" s="25" t="str">
        <f aca="false">IF($C243="","",IF(N($L243)&lt;1,0,MIN(100,LOG10($L243+1)/LOG10(設定!$B$44+1)*100)))</f>
        <v/>
      </c>
      <c r="V243" s="25" t="str">
        <f aca="false">IF($C243="","",IF(設定!$B$11=0,0,(O243*設定!$B$4+P243*設定!$B$5+Q243*設定!$B$6+R243*設定!$B$7+S243*設定!$B$8+T243*設定!$B$9+U243*設定!$B$10)/設定!$B$11))</f>
        <v/>
      </c>
      <c r="W243" s="25" t="str">
        <f aca="false">IF($C243="","",IFERROR(INDEX(設定!$B$38:$B$40,MATCH($M243,設定!$A$38:$A$40,0)),1))</f>
        <v/>
      </c>
      <c r="X243" s="26" t="str">
        <f aca="false">IF($C243="","",ROUND(V243*W243,1))</f>
        <v/>
      </c>
      <c r="Y243" s="27" t="str">
        <f aca="false">IF($C243="","",INDEX(設定!$B$49:$B$53,MATCH(X243,設定!$A$49:$A$53,1)))</f>
        <v/>
      </c>
    </row>
    <row r="244" customFormat="false" ht="15" hidden="false" customHeight="false" outlineLevel="0" collapsed="false">
      <c r="A244" s="23" t="n">
        <v>240</v>
      </c>
      <c r="B244" s="24"/>
      <c r="C244" s="9"/>
      <c r="D244" s="9"/>
      <c r="E244" s="15"/>
      <c r="F244" s="9"/>
      <c r="G244" s="17"/>
      <c r="H244" s="9"/>
      <c r="I244" s="9"/>
      <c r="J244" s="9"/>
      <c r="K244" s="9"/>
      <c r="L244" s="17"/>
      <c r="M244" s="9"/>
      <c r="N244" s="9"/>
      <c r="O244" s="25" t="str">
        <f aca="false">IF($C244="","",IFERROR(INDEX(設定!$B$14:$B$18,MATCH($E244,設定!$A$14:$A$18,0)),0))</f>
        <v/>
      </c>
      <c r="P244" s="25" t="str">
        <f aca="false">IF($C244="","",IF(N($G244)&lt;=1,0,MIN(100,LOG10($G244)/LOG10(設定!$B$43)*100)))</f>
        <v/>
      </c>
      <c r="Q244" s="25" t="str">
        <f aca="false">IF($C244="","",IFERROR(INDEX(設定!$B$21:$B$24,MATCH($H244,設定!$A$21:$A$24,0)),0))</f>
        <v/>
      </c>
      <c r="R244" s="25" t="str">
        <f aca="false">IF($C244="","",IF(設定!$B$45&lt;=0,0,MIN(100,N($I244)/設定!$B$45*100)))</f>
        <v/>
      </c>
      <c r="S244" s="25" t="str">
        <f aca="false">IF($C244="","",IFERROR(INDEX(設定!$B$27:$B$29,MATCH($J244,設定!$A$27:$A$29,0)),0))</f>
        <v/>
      </c>
      <c r="T244" s="25" t="str">
        <f aca="false">IF($C244="","",IFERROR(INDEX(設定!$B$32:$B$35,MATCH($K244,設定!$A$32:$A$35,0)),0))</f>
        <v/>
      </c>
      <c r="U244" s="25" t="str">
        <f aca="false">IF($C244="","",IF(N($L244)&lt;1,0,MIN(100,LOG10($L244+1)/LOG10(設定!$B$44+1)*100)))</f>
        <v/>
      </c>
      <c r="V244" s="25" t="str">
        <f aca="false">IF($C244="","",IF(設定!$B$11=0,0,(O244*設定!$B$4+P244*設定!$B$5+Q244*設定!$B$6+R244*設定!$B$7+S244*設定!$B$8+T244*設定!$B$9+U244*設定!$B$10)/設定!$B$11))</f>
        <v/>
      </c>
      <c r="W244" s="25" t="str">
        <f aca="false">IF($C244="","",IFERROR(INDEX(設定!$B$38:$B$40,MATCH($M244,設定!$A$38:$A$40,0)),1))</f>
        <v/>
      </c>
      <c r="X244" s="26" t="str">
        <f aca="false">IF($C244="","",ROUND(V244*W244,1))</f>
        <v/>
      </c>
      <c r="Y244" s="27" t="str">
        <f aca="false">IF($C244="","",INDEX(設定!$B$49:$B$53,MATCH(X244,設定!$A$49:$A$53,1)))</f>
        <v/>
      </c>
    </row>
    <row r="245" customFormat="false" ht="15" hidden="false" customHeight="false" outlineLevel="0" collapsed="false">
      <c r="A245" s="23" t="n">
        <v>241</v>
      </c>
      <c r="B245" s="24"/>
      <c r="C245" s="9"/>
      <c r="D245" s="9"/>
      <c r="E245" s="15"/>
      <c r="F245" s="9"/>
      <c r="G245" s="17"/>
      <c r="H245" s="9"/>
      <c r="I245" s="9"/>
      <c r="J245" s="9"/>
      <c r="K245" s="9"/>
      <c r="L245" s="17"/>
      <c r="M245" s="9"/>
      <c r="N245" s="9"/>
      <c r="O245" s="25" t="str">
        <f aca="false">IF($C245="","",IFERROR(INDEX(設定!$B$14:$B$18,MATCH($E245,設定!$A$14:$A$18,0)),0))</f>
        <v/>
      </c>
      <c r="P245" s="25" t="str">
        <f aca="false">IF($C245="","",IF(N($G245)&lt;=1,0,MIN(100,LOG10($G245)/LOG10(設定!$B$43)*100)))</f>
        <v/>
      </c>
      <c r="Q245" s="25" t="str">
        <f aca="false">IF($C245="","",IFERROR(INDEX(設定!$B$21:$B$24,MATCH($H245,設定!$A$21:$A$24,0)),0))</f>
        <v/>
      </c>
      <c r="R245" s="25" t="str">
        <f aca="false">IF($C245="","",IF(設定!$B$45&lt;=0,0,MIN(100,N($I245)/設定!$B$45*100)))</f>
        <v/>
      </c>
      <c r="S245" s="25" t="str">
        <f aca="false">IF($C245="","",IFERROR(INDEX(設定!$B$27:$B$29,MATCH($J245,設定!$A$27:$A$29,0)),0))</f>
        <v/>
      </c>
      <c r="T245" s="25" t="str">
        <f aca="false">IF($C245="","",IFERROR(INDEX(設定!$B$32:$B$35,MATCH($K245,設定!$A$32:$A$35,0)),0))</f>
        <v/>
      </c>
      <c r="U245" s="25" t="str">
        <f aca="false">IF($C245="","",IF(N($L245)&lt;1,0,MIN(100,LOG10($L245+1)/LOG10(設定!$B$44+1)*100)))</f>
        <v/>
      </c>
      <c r="V245" s="25" t="str">
        <f aca="false">IF($C245="","",IF(設定!$B$11=0,0,(O245*設定!$B$4+P245*設定!$B$5+Q245*設定!$B$6+R245*設定!$B$7+S245*設定!$B$8+T245*設定!$B$9+U245*設定!$B$10)/設定!$B$11))</f>
        <v/>
      </c>
      <c r="W245" s="25" t="str">
        <f aca="false">IF($C245="","",IFERROR(INDEX(設定!$B$38:$B$40,MATCH($M245,設定!$A$38:$A$40,0)),1))</f>
        <v/>
      </c>
      <c r="X245" s="26" t="str">
        <f aca="false">IF($C245="","",ROUND(V245*W245,1))</f>
        <v/>
      </c>
      <c r="Y245" s="27" t="str">
        <f aca="false">IF($C245="","",INDEX(設定!$B$49:$B$53,MATCH(X245,設定!$A$49:$A$53,1)))</f>
        <v/>
      </c>
    </row>
    <row r="246" customFormat="false" ht="15" hidden="false" customHeight="false" outlineLevel="0" collapsed="false">
      <c r="A246" s="23" t="n">
        <v>242</v>
      </c>
      <c r="B246" s="24"/>
      <c r="C246" s="9"/>
      <c r="D246" s="9"/>
      <c r="E246" s="15"/>
      <c r="F246" s="9"/>
      <c r="G246" s="17"/>
      <c r="H246" s="9"/>
      <c r="I246" s="9"/>
      <c r="J246" s="9"/>
      <c r="K246" s="9"/>
      <c r="L246" s="17"/>
      <c r="M246" s="9"/>
      <c r="N246" s="9"/>
      <c r="O246" s="25" t="str">
        <f aca="false">IF($C246="","",IFERROR(INDEX(設定!$B$14:$B$18,MATCH($E246,設定!$A$14:$A$18,0)),0))</f>
        <v/>
      </c>
      <c r="P246" s="25" t="str">
        <f aca="false">IF($C246="","",IF(N($G246)&lt;=1,0,MIN(100,LOG10($G246)/LOG10(設定!$B$43)*100)))</f>
        <v/>
      </c>
      <c r="Q246" s="25" t="str">
        <f aca="false">IF($C246="","",IFERROR(INDEX(設定!$B$21:$B$24,MATCH($H246,設定!$A$21:$A$24,0)),0))</f>
        <v/>
      </c>
      <c r="R246" s="25" t="str">
        <f aca="false">IF($C246="","",IF(設定!$B$45&lt;=0,0,MIN(100,N($I246)/設定!$B$45*100)))</f>
        <v/>
      </c>
      <c r="S246" s="25" t="str">
        <f aca="false">IF($C246="","",IFERROR(INDEX(設定!$B$27:$B$29,MATCH($J246,設定!$A$27:$A$29,0)),0))</f>
        <v/>
      </c>
      <c r="T246" s="25" t="str">
        <f aca="false">IF($C246="","",IFERROR(INDEX(設定!$B$32:$B$35,MATCH($K246,設定!$A$32:$A$35,0)),0))</f>
        <v/>
      </c>
      <c r="U246" s="25" t="str">
        <f aca="false">IF($C246="","",IF(N($L246)&lt;1,0,MIN(100,LOG10($L246+1)/LOG10(設定!$B$44+1)*100)))</f>
        <v/>
      </c>
      <c r="V246" s="25" t="str">
        <f aca="false">IF($C246="","",IF(設定!$B$11=0,0,(O246*設定!$B$4+P246*設定!$B$5+Q246*設定!$B$6+R246*設定!$B$7+S246*設定!$B$8+T246*設定!$B$9+U246*設定!$B$10)/設定!$B$11))</f>
        <v/>
      </c>
      <c r="W246" s="25" t="str">
        <f aca="false">IF($C246="","",IFERROR(INDEX(設定!$B$38:$B$40,MATCH($M246,設定!$A$38:$A$40,0)),1))</f>
        <v/>
      </c>
      <c r="X246" s="26" t="str">
        <f aca="false">IF($C246="","",ROUND(V246*W246,1))</f>
        <v/>
      </c>
      <c r="Y246" s="27" t="str">
        <f aca="false">IF($C246="","",INDEX(設定!$B$49:$B$53,MATCH(X246,設定!$A$49:$A$53,1)))</f>
        <v/>
      </c>
    </row>
    <row r="247" customFormat="false" ht="15" hidden="false" customHeight="false" outlineLevel="0" collapsed="false">
      <c r="A247" s="23" t="n">
        <v>243</v>
      </c>
      <c r="B247" s="24"/>
      <c r="C247" s="9"/>
      <c r="D247" s="9"/>
      <c r="E247" s="15"/>
      <c r="F247" s="9"/>
      <c r="G247" s="17"/>
      <c r="H247" s="9"/>
      <c r="I247" s="9"/>
      <c r="J247" s="9"/>
      <c r="K247" s="9"/>
      <c r="L247" s="17"/>
      <c r="M247" s="9"/>
      <c r="N247" s="9"/>
      <c r="O247" s="25" t="str">
        <f aca="false">IF($C247="","",IFERROR(INDEX(設定!$B$14:$B$18,MATCH($E247,設定!$A$14:$A$18,0)),0))</f>
        <v/>
      </c>
      <c r="P247" s="25" t="str">
        <f aca="false">IF($C247="","",IF(N($G247)&lt;=1,0,MIN(100,LOG10($G247)/LOG10(設定!$B$43)*100)))</f>
        <v/>
      </c>
      <c r="Q247" s="25" t="str">
        <f aca="false">IF($C247="","",IFERROR(INDEX(設定!$B$21:$B$24,MATCH($H247,設定!$A$21:$A$24,0)),0))</f>
        <v/>
      </c>
      <c r="R247" s="25" t="str">
        <f aca="false">IF($C247="","",IF(設定!$B$45&lt;=0,0,MIN(100,N($I247)/設定!$B$45*100)))</f>
        <v/>
      </c>
      <c r="S247" s="25" t="str">
        <f aca="false">IF($C247="","",IFERROR(INDEX(設定!$B$27:$B$29,MATCH($J247,設定!$A$27:$A$29,0)),0))</f>
        <v/>
      </c>
      <c r="T247" s="25" t="str">
        <f aca="false">IF($C247="","",IFERROR(INDEX(設定!$B$32:$B$35,MATCH($K247,設定!$A$32:$A$35,0)),0))</f>
        <v/>
      </c>
      <c r="U247" s="25" t="str">
        <f aca="false">IF($C247="","",IF(N($L247)&lt;1,0,MIN(100,LOG10($L247+1)/LOG10(設定!$B$44+1)*100)))</f>
        <v/>
      </c>
      <c r="V247" s="25" t="str">
        <f aca="false">IF($C247="","",IF(設定!$B$11=0,0,(O247*設定!$B$4+P247*設定!$B$5+Q247*設定!$B$6+R247*設定!$B$7+S247*設定!$B$8+T247*設定!$B$9+U247*設定!$B$10)/設定!$B$11))</f>
        <v/>
      </c>
      <c r="W247" s="25" t="str">
        <f aca="false">IF($C247="","",IFERROR(INDEX(設定!$B$38:$B$40,MATCH($M247,設定!$A$38:$A$40,0)),1))</f>
        <v/>
      </c>
      <c r="X247" s="26" t="str">
        <f aca="false">IF($C247="","",ROUND(V247*W247,1))</f>
        <v/>
      </c>
      <c r="Y247" s="27" t="str">
        <f aca="false">IF($C247="","",INDEX(設定!$B$49:$B$53,MATCH(X247,設定!$A$49:$A$53,1)))</f>
        <v/>
      </c>
    </row>
    <row r="248" customFormat="false" ht="15" hidden="false" customHeight="false" outlineLevel="0" collapsed="false">
      <c r="A248" s="23" t="n">
        <v>244</v>
      </c>
      <c r="B248" s="24"/>
      <c r="C248" s="9"/>
      <c r="D248" s="9"/>
      <c r="E248" s="15"/>
      <c r="F248" s="9"/>
      <c r="G248" s="17"/>
      <c r="H248" s="9"/>
      <c r="I248" s="9"/>
      <c r="J248" s="9"/>
      <c r="K248" s="9"/>
      <c r="L248" s="17"/>
      <c r="M248" s="9"/>
      <c r="N248" s="9"/>
      <c r="O248" s="25" t="str">
        <f aca="false">IF($C248="","",IFERROR(INDEX(設定!$B$14:$B$18,MATCH($E248,設定!$A$14:$A$18,0)),0))</f>
        <v/>
      </c>
      <c r="P248" s="25" t="str">
        <f aca="false">IF($C248="","",IF(N($G248)&lt;=1,0,MIN(100,LOG10($G248)/LOG10(設定!$B$43)*100)))</f>
        <v/>
      </c>
      <c r="Q248" s="25" t="str">
        <f aca="false">IF($C248="","",IFERROR(INDEX(設定!$B$21:$B$24,MATCH($H248,設定!$A$21:$A$24,0)),0))</f>
        <v/>
      </c>
      <c r="R248" s="25" t="str">
        <f aca="false">IF($C248="","",IF(設定!$B$45&lt;=0,0,MIN(100,N($I248)/設定!$B$45*100)))</f>
        <v/>
      </c>
      <c r="S248" s="25" t="str">
        <f aca="false">IF($C248="","",IFERROR(INDEX(設定!$B$27:$B$29,MATCH($J248,設定!$A$27:$A$29,0)),0))</f>
        <v/>
      </c>
      <c r="T248" s="25" t="str">
        <f aca="false">IF($C248="","",IFERROR(INDEX(設定!$B$32:$B$35,MATCH($K248,設定!$A$32:$A$35,0)),0))</f>
        <v/>
      </c>
      <c r="U248" s="25" t="str">
        <f aca="false">IF($C248="","",IF(N($L248)&lt;1,0,MIN(100,LOG10($L248+1)/LOG10(設定!$B$44+1)*100)))</f>
        <v/>
      </c>
      <c r="V248" s="25" t="str">
        <f aca="false">IF($C248="","",IF(設定!$B$11=0,0,(O248*設定!$B$4+P248*設定!$B$5+Q248*設定!$B$6+R248*設定!$B$7+S248*設定!$B$8+T248*設定!$B$9+U248*設定!$B$10)/設定!$B$11))</f>
        <v/>
      </c>
      <c r="W248" s="25" t="str">
        <f aca="false">IF($C248="","",IFERROR(INDEX(設定!$B$38:$B$40,MATCH($M248,設定!$A$38:$A$40,0)),1))</f>
        <v/>
      </c>
      <c r="X248" s="26" t="str">
        <f aca="false">IF($C248="","",ROUND(V248*W248,1))</f>
        <v/>
      </c>
      <c r="Y248" s="27" t="str">
        <f aca="false">IF($C248="","",INDEX(設定!$B$49:$B$53,MATCH(X248,設定!$A$49:$A$53,1)))</f>
        <v/>
      </c>
    </row>
    <row r="249" customFormat="false" ht="15" hidden="false" customHeight="false" outlineLevel="0" collapsed="false">
      <c r="A249" s="23" t="n">
        <v>245</v>
      </c>
      <c r="B249" s="24"/>
      <c r="C249" s="9"/>
      <c r="D249" s="9"/>
      <c r="E249" s="15"/>
      <c r="F249" s="9"/>
      <c r="G249" s="17"/>
      <c r="H249" s="9"/>
      <c r="I249" s="9"/>
      <c r="J249" s="9"/>
      <c r="K249" s="9"/>
      <c r="L249" s="17"/>
      <c r="M249" s="9"/>
      <c r="N249" s="9"/>
      <c r="O249" s="25" t="str">
        <f aca="false">IF($C249="","",IFERROR(INDEX(設定!$B$14:$B$18,MATCH($E249,設定!$A$14:$A$18,0)),0))</f>
        <v/>
      </c>
      <c r="P249" s="25" t="str">
        <f aca="false">IF($C249="","",IF(N($G249)&lt;=1,0,MIN(100,LOG10($G249)/LOG10(設定!$B$43)*100)))</f>
        <v/>
      </c>
      <c r="Q249" s="25" t="str">
        <f aca="false">IF($C249="","",IFERROR(INDEX(設定!$B$21:$B$24,MATCH($H249,設定!$A$21:$A$24,0)),0))</f>
        <v/>
      </c>
      <c r="R249" s="25" t="str">
        <f aca="false">IF($C249="","",IF(設定!$B$45&lt;=0,0,MIN(100,N($I249)/設定!$B$45*100)))</f>
        <v/>
      </c>
      <c r="S249" s="25" t="str">
        <f aca="false">IF($C249="","",IFERROR(INDEX(設定!$B$27:$B$29,MATCH($J249,設定!$A$27:$A$29,0)),0))</f>
        <v/>
      </c>
      <c r="T249" s="25" t="str">
        <f aca="false">IF($C249="","",IFERROR(INDEX(設定!$B$32:$B$35,MATCH($K249,設定!$A$32:$A$35,0)),0))</f>
        <v/>
      </c>
      <c r="U249" s="25" t="str">
        <f aca="false">IF($C249="","",IF(N($L249)&lt;1,0,MIN(100,LOG10($L249+1)/LOG10(設定!$B$44+1)*100)))</f>
        <v/>
      </c>
      <c r="V249" s="25" t="str">
        <f aca="false">IF($C249="","",IF(設定!$B$11=0,0,(O249*設定!$B$4+P249*設定!$B$5+Q249*設定!$B$6+R249*設定!$B$7+S249*設定!$B$8+T249*設定!$B$9+U249*設定!$B$10)/設定!$B$11))</f>
        <v/>
      </c>
      <c r="W249" s="25" t="str">
        <f aca="false">IF($C249="","",IFERROR(INDEX(設定!$B$38:$B$40,MATCH($M249,設定!$A$38:$A$40,0)),1))</f>
        <v/>
      </c>
      <c r="X249" s="26" t="str">
        <f aca="false">IF($C249="","",ROUND(V249*W249,1))</f>
        <v/>
      </c>
      <c r="Y249" s="27" t="str">
        <f aca="false">IF($C249="","",INDEX(設定!$B$49:$B$53,MATCH(X249,設定!$A$49:$A$53,1)))</f>
        <v/>
      </c>
    </row>
    <row r="250" customFormat="false" ht="15" hidden="false" customHeight="false" outlineLevel="0" collapsed="false">
      <c r="A250" s="23" t="n">
        <v>246</v>
      </c>
      <c r="B250" s="24"/>
      <c r="C250" s="9"/>
      <c r="D250" s="9"/>
      <c r="E250" s="15"/>
      <c r="F250" s="9"/>
      <c r="G250" s="17"/>
      <c r="H250" s="9"/>
      <c r="I250" s="9"/>
      <c r="J250" s="9"/>
      <c r="K250" s="9"/>
      <c r="L250" s="17"/>
      <c r="M250" s="9"/>
      <c r="N250" s="9"/>
      <c r="O250" s="25" t="str">
        <f aca="false">IF($C250="","",IFERROR(INDEX(設定!$B$14:$B$18,MATCH($E250,設定!$A$14:$A$18,0)),0))</f>
        <v/>
      </c>
      <c r="P250" s="25" t="str">
        <f aca="false">IF($C250="","",IF(N($G250)&lt;=1,0,MIN(100,LOG10($G250)/LOG10(設定!$B$43)*100)))</f>
        <v/>
      </c>
      <c r="Q250" s="25" t="str">
        <f aca="false">IF($C250="","",IFERROR(INDEX(設定!$B$21:$B$24,MATCH($H250,設定!$A$21:$A$24,0)),0))</f>
        <v/>
      </c>
      <c r="R250" s="25" t="str">
        <f aca="false">IF($C250="","",IF(設定!$B$45&lt;=0,0,MIN(100,N($I250)/設定!$B$45*100)))</f>
        <v/>
      </c>
      <c r="S250" s="25" t="str">
        <f aca="false">IF($C250="","",IFERROR(INDEX(設定!$B$27:$B$29,MATCH($J250,設定!$A$27:$A$29,0)),0))</f>
        <v/>
      </c>
      <c r="T250" s="25" t="str">
        <f aca="false">IF($C250="","",IFERROR(INDEX(設定!$B$32:$B$35,MATCH($K250,設定!$A$32:$A$35,0)),0))</f>
        <v/>
      </c>
      <c r="U250" s="25" t="str">
        <f aca="false">IF($C250="","",IF(N($L250)&lt;1,0,MIN(100,LOG10($L250+1)/LOG10(設定!$B$44+1)*100)))</f>
        <v/>
      </c>
      <c r="V250" s="25" t="str">
        <f aca="false">IF($C250="","",IF(設定!$B$11=0,0,(O250*設定!$B$4+P250*設定!$B$5+Q250*設定!$B$6+R250*設定!$B$7+S250*設定!$B$8+T250*設定!$B$9+U250*設定!$B$10)/設定!$B$11))</f>
        <v/>
      </c>
      <c r="W250" s="25" t="str">
        <f aca="false">IF($C250="","",IFERROR(INDEX(設定!$B$38:$B$40,MATCH($M250,設定!$A$38:$A$40,0)),1))</f>
        <v/>
      </c>
      <c r="X250" s="26" t="str">
        <f aca="false">IF($C250="","",ROUND(V250*W250,1))</f>
        <v/>
      </c>
      <c r="Y250" s="27" t="str">
        <f aca="false">IF($C250="","",INDEX(設定!$B$49:$B$53,MATCH(X250,設定!$A$49:$A$53,1)))</f>
        <v/>
      </c>
    </row>
    <row r="251" customFormat="false" ht="15" hidden="false" customHeight="false" outlineLevel="0" collapsed="false">
      <c r="A251" s="23" t="n">
        <v>247</v>
      </c>
      <c r="B251" s="24"/>
      <c r="C251" s="9"/>
      <c r="D251" s="9"/>
      <c r="E251" s="15"/>
      <c r="F251" s="9"/>
      <c r="G251" s="17"/>
      <c r="H251" s="9"/>
      <c r="I251" s="9"/>
      <c r="J251" s="9"/>
      <c r="K251" s="9"/>
      <c r="L251" s="17"/>
      <c r="M251" s="9"/>
      <c r="N251" s="9"/>
      <c r="O251" s="25" t="str">
        <f aca="false">IF($C251="","",IFERROR(INDEX(設定!$B$14:$B$18,MATCH($E251,設定!$A$14:$A$18,0)),0))</f>
        <v/>
      </c>
      <c r="P251" s="25" t="str">
        <f aca="false">IF($C251="","",IF(N($G251)&lt;=1,0,MIN(100,LOG10($G251)/LOG10(設定!$B$43)*100)))</f>
        <v/>
      </c>
      <c r="Q251" s="25" t="str">
        <f aca="false">IF($C251="","",IFERROR(INDEX(設定!$B$21:$B$24,MATCH($H251,設定!$A$21:$A$24,0)),0))</f>
        <v/>
      </c>
      <c r="R251" s="25" t="str">
        <f aca="false">IF($C251="","",IF(設定!$B$45&lt;=0,0,MIN(100,N($I251)/設定!$B$45*100)))</f>
        <v/>
      </c>
      <c r="S251" s="25" t="str">
        <f aca="false">IF($C251="","",IFERROR(INDEX(設定!$B$27:$B$29,MATCH($J251,設定!$A$27:$A$29,0)),0))</f>
        <v/>
      </c>
      <c r="T251" s="25" t="str">
        <f aca="false">IF($C251="","",IFERROR(INDEX(設定!$B$32:$B$35,MATCH($K251,設定!$A$32:$A$35,0)),0))</f>
        <v/>
      </c>
      <c r="U251" s="25" t="str">
        <f aca="false">IF($C251="","",IF(N($L251)&lt;1,0,MIN(100,LOG10($L251+1)/LOG10(設定!$B$44+1)*100)))</f>
        <v/>
      </c>
      <c r="V251" s="25" t="str">
        <f aca="false">IF($C251="","",IF(設定!$B$11=0,0,(O251*設定!$B$4+P251*設定!$B$5+Q251*設定!$B$6+R251*設定!$B$7+S251*設定!$B$8+T251*設定!$B$9+U251*設定!$B$10)/設定!$B$11))</f>
        <v/>
      </c>
      <c r="W251" s="25" t="str">
        <f aca="false">IF($C251="","",IFERROR(INDEX(設定!$B$38:$B$40,MATCH($M251,設定!$A$38:$A$40,0)),1))</f>
        <v/>
      </c>
      <c r="X251" s="26" t="str">
        <f aca="false">IF($C251="","",ROUND(V251*W251,1))</f>
        <v/>
      </c>
      <c r="Y251" s="27" t="str">
        <f aca="false">IF($C251="","",INDEX(設定!$B$49:$B$53,MATCH(X251,設定!$A$49:$A$53,1)))</f>
        <v/>
      </c>
    </row>
    <row r="252" customFormat="false" ht="15" hidden="false" customHeight="false" outlineLevel="0" collapsed="false">
      <c r="A252" s="23" t="n">
        <v>248</v>
      </c>
      <c r="B252" s="24"/>
      <c r="C252" s="9"/>
      <c r="D252" s="9"/>
      <c r="E252" s="15"/>
      <c r="F252" s="9"/>
      <c r="G252" s="17"/>
      <c r="H252" s="9"/>
      <c r="I252" s="9"/>
      <c r="J252" s="9"/>
      <c r="K252" s="9"/>
      <c r="L252" s="17"/>
      <c r="M252" s="9"/>
      <c r="N252" s="9"/>
      <c r="O252" s="25" t="str">
        <f aca="false">IF($C252="","",IFERROR(INDEX(設定!$B$14:$B$18,MATCH($E252,設定!$A$14:$A$18,0)),0))</f>
        <v/>
      </c>
      <c r="P252" s="25" t="str">
        <f aca="false">IF($C252="","",IF(N($G252)&lt;=1,0,MIN(100,LOG10($G252)/LOG10(設定!$B$43)*100)))</f>
        <v/>
      </c>
      <c r="Q252" s="25" t="str">
        <f aca="false">IF($C252="","",IFERROR(INDEX(設定!$B$21:$B$24,MATCH($H252,設定!$A$21:$A$24,0)),0))</f>
        <v/>
      </c>
      <c r="R252" s="25" t="str">
        <f aca="false">IF($C252="","",IF(設定!$B$45&lt;=0,0,MIN(100,N($I252)/設定!$B$45*100)))</f>
        <v/>
      </c>
      <c r="S252" s="25" t="str">
        <f aca="false">IF($C252="","",IFERROR(INDEX(設定!$B$27:$B$29,MATCH($J252,設定!$A$27:$A$29,0)),0))</f>
        <v/>
      </c>
      <c r="T252" s="25" t="str">
        <f aca="false">IF($C252="","",IFERROR(INDEX(設定!$B$32:$B$35,MATCH($K252,設定!$A$32:$A$35,0)),0))</f>
        <v/>
      </c>
      <c r="U252" s="25" t="str">
        <f aca="false">IF($C252="","",IF(N($L252)&lt;1,0,MIN(100,LOG10($L252+1)/LOG10(設定!$B$44+1)*100)))</f>
        <v/>
      </c>
      <c r="V252" s="25" t="str">
        <f aca="false">IF($C252="","",IF(設定!$B$11=0,0,(O252*設定!$B$4+P252*設定!$B$5+Q252*設定!$B$6+R252*設定!$B$7+S252*設定!$B$8+T252*設定!$B$9+U252*設定!$B$10)/設定!$B$11))</f>
        <v/>
      </c>
      <c r="W252" s="25" t="str">
        <f aca="false">IF($C252="","",IFERROR(INDEX(設定!$B$38:$B$40,MATCH($M252,設定!$A$38:$A$40,0)),1))</f>
        <v/>
      </c>
      <c r="X252" s="26" t="str">
        <f aca="false">IF($C252="","",ROUND(V252*W252,1))</f>
        <v/>
      </c>
      <c r="Y252" s="27" t="str">
        <f aca="false">IF($C252="","",INDEX(設定!$B$49:$B$53,MATCH(X252,設定!$A$49:$A$53,1)))</f>
        <v/>
      </c>
    </row>
    <row r="253" customFormat="false" ht="15" hidden="false" customHeight="false" outlineLevel="0" collapsed="false">
      <c r="A253" s="23" t="n">
        <v>249</v>
      </c>
      <c r="B253" s="24"/>
      <c r="C253" s="9"/>
      <c r="D253" s="9"/>
      <c r="E253" s="15"/>
      <c r="F253" s="9"/>
      <c r="G253" s="17"/>
      <c r="H253" s="9"/>
      <c r="I253" s="9"/>
      <c r="J253" s="9"/>
      <c r="K253" s="9"/>
      <c r="L253" s="17"/>
      <c r="M253" s="9"/>
      <c r="N253" s="9"/>
      <c r="O253" s="25" t="str">
        <f aca="false">IF($C253="","",IFERROR(INDEX(設定!$B$14:$B$18,MATCH($E253,設定!$A$14:$A$18,0)),0))</f>
        <v/>
      </c>
      <c r="P253" s="25" t="str">
        <f aca="false">IF($C253="","",IF(N($G253)&lt;=1,0,MIN(100,LOG10($G253)/LOG10(設定!$B$43)*100)))</f>
        <v/>
      </c>
      <c r="Q253" s="25" t="str">
        <f aca="false">IF($C253="","",IFERROR(INDEX(設定!$B$21:$B$24,MATCH($H253,設定!$A$21:$A$24,0)),0))</f>
        <v/>
      </c>
      <c r="R253" s="25" t="str">
        <f aca="false">IF($C253="","",IF(設定!$B$45&lt;=0,0,MIN(100,N($I253)/設定!$B$45*100)))</f>
        <v/>
      </c>
      <c r="S253" s="25" t="str">
        <f aca="false">IF($C253="","",IFERROR(INDEX(設定!$B$27:$B$29,MATCH($J253,設定!$A$27:$A$29,0)),0))</f>
        <v/>
      </c>
      <c r="T253" s="25" t="str">
        <f aca="false">IF($C253="","",IFERROR(INDEX(設定!$B$32:$B$35,MATCH($K253,設定!$A$32:$A$35,0)),0))</f>
        <v/>
      </c>
      <c r="U253" s="25" t="str">
        <f aca="false">IF($C253="","",IF(N($L253)&lt;1,0,MIN(100,LOG10($L253+1)/LOG10(設定!$B$44+1)*100)))</f>
        <v/>
      </c>
      <c r="V253" s="25" t="str">
        <f aca="false">IF($C253="","",IF(設定!$B$11=0,0,(O253*設定!$B$4+P253*設定!$B$5+Q253*設定!$B$6+R253*設定!$B$7+S253*設定!$B$8+T253*設定!$B$9+U253*設定!$B$10)/設定!$B$11))</f>
        <v/>
      </c>
      <c r="W253" s="25" t="str">
        <f aca="false">IF($C253="","",IFERROR(INDEX(設定!$B$38:$B$40,MATCH($M253,設定!$A$38:$A$40,0)),1))</f>
        <v/>
      </c>
      <c r="X253" s="26" t="str">
        <f aca="false">IF($C253="","",ROUND(V253*W253,1))</f>
        <v/>
      </c>
      <c r="Y253" s="27" t="str">
        <f aca="false">IF($C253="","",INDEX(設定!$B$49:$B$53,MATCH(X253,設定!$A$49:$A$53,1)))</f>
        <v/>
      </c>
    </row>
    <row r="254" customFormat="false" ht="15" hidden="false" customHeight="false" outlineLevel="0" collapsed="false">
      <c r="A254" s="23" t="n">
        <v>250</v>
      </c>
      <c r="B254" s="24"/>
      <c r="C254" s="9"/>
      <c r="D254" s="9"/>
      <c r="E254" s="15"/>
      <c r="F254" s="9"/>
      <c r="G254" s="17"/>
      <c r="H254" s="9"/>
      <c r="I254" s="9"/>
      <c r="J254" s="9"/>
      <c r="K254" s="9"/>
      <c r="L254" s="17"/>
      <c r="M254" s="9"/>
      <c r="N254" s="9"/>
      <c r="O254" s="25" t="str">
        <f aca="false">IF($C254="","",IFERROR(INDEX(設定!$B$14:$B$18,MATCH($E254,設定!$A$14:$A$18,0)),0))</f>
        <v/>
      </c>
      <c r="P254" s="25" t="str">
        <f aca="false">IF($C254="","",IF(N($G254)&lt;=1,0,MIN(100,LOG10($G254)/LOG10(設定!$B$43)*100)))</f>
        <v/>
      </c>
      <c r="Q254" s="25" t="str">
        <f aca="false">IF($C254="","",IFERROR(INDEX(設定!$B$21:$B$24,MATCH($H254,設定!$A$21:$A$24,0)),0))</f>
        <v/>
      </c>
      <c r="R254" s="25" t="str">
        <f aca="false">IF($C254="","",IF(設定!$B$45&lt;=0,0,MIN(100,N($I254)/設定!$B$45*100)))</f>
        <v/>
      </c>
      <c r="S254" s="25" t="str">
        <f aca="false">IF($C254="","",IFERROR(INDEX(設定!$B$27:$B$29,MATCH($J254,設定!$A$27:$A$29,0)),0))</f>
        <v/>
      </c>
      <c r="T254" s="25" t="str">
        <f aca="false">IF($C254="","",IFERROR(INDEX(設定!$B$32:$B$35,MATCH($K254,設定!$A$32:$A$35,0)),0))</f>
        <v/>
      </c>
      <c r="U254" s="25" t="str">
        <f aca="false">IF($C254="","",IF(N($L254)&lt;1,0,MIN(100,LOG10($L254+1)/LOG10(設定!$B$44+1)*100)))</f>
        <v/>
      </c>
      <c r="V254" s="25" t="str">
        <f aca="false">IF($C254="","",IF(設定!$B$11=0,0,(O254*設定!$B$4+P254*設定!$B$5+Q254*設定!$B$6+R254*設定!$B$7+S254*設定!$B$8+T254*設定!$B$9+U254*設定!$B$10)/設定!$B$11))</f>
        <v/>
      </c>
      <c r="W254" s="25" t="str">
        <f aca="false">IF($C254="","",IFERROR(INDEX(設定!$B$38:$B$40,MATCH($M254,設定!$A$38:$A$40,0)),1))</f>
        <v/>
      </c>
      <c r="X254" s="26" t="str">
        <f aca="false">IF($C254="","",ROUND(V254*W254,1))</f>
        <v/>
      </c>
      <c r="Y254" s="27" t="str">
        <f aca="false">IF($C254="","",INDEX(設定!$B$49:$B$53,MATCH(X254,設定!$A$49:$A$53,1)))</f>
        <v/>
      </c>
    </row>
    <row r="255" customFormat="false" ht="15" hidden="false" customHeight="false" outlineLevel="0" collapsed="false">
      <c r="A255" s="23" t="n">
        <v>251</v>
      </c>
      <c r="B255" s="24"/>
      <c r="C255" s="9"/>
      <c r="D255" s="9"/>
      <c r="E255" s="15"/>
      <c r="F255" s="9"/>
      <c r="G255" s="17"/>
      <c r="H255" s="9"/>
      <c r="I255" s="9"/>
      <c r="J255" s="9"/>
      <c r="K255" s="9"/>
      <c r="L255" s="17"/>
      <c r="M255" s="9"/>
      <c r="N255" s="9"/>
      <c r="O255" s="25" t="str">
        <f aca="false">IF($C255="","",IFERROR(INDEX(設定!$B$14:$B$18,MATCH($E255,設定!$A$14:$A$18,0)),0))</f>
        <v/>
      </c>
      <c r="P255" s="25" t="str">
        <f aca="false">IF($C255="","",IF(N($G255)&lt;=1,0,MIN(100,LOG10($G255)/LOG10(設定!$B$43)*100)))</f>
        <v/>
      </c>
      <c r="Q255" s="25" t="str">
        <f aca="false">IF($C255="","",IFERROR(INDEX(設定!$B$21:$B$24,MATCH($H255,設定!$A$21:$A$24,0)),0))</f>
        <v/>
      </c>
      <c r="R255" s="25" t="str">
        <f aca="false">IF($C255="","",IF(設定!$B$45&lt;=0,0,MIN(100,N($I255)/設定!$B$45*100)))</f>
        <v/>
      </c>
      <c r="S255" s="25" t="str">
        <f aca="false">IF($C255="","",IFERROR(INDEX(設定!$B$27:$B$29,MATCH($J255,設定!$A$27:$A$29,0)),0))</f>
        <v/>
      </c>
      <c r="T255" s="25" t="str">
        <f aca="false">IF($C255="","",IFERROR(INDEX(設定!$B$32:$B$35,MATCH($K255,設定!$A$32:$A$35,0)),0))</f>
        <v/>
      </c>
      <c r="U255" s="25" t="str">
        <f aca="false">IF($C255="","",IF(N($L255)&lt;1,0,MIN(100,LOG10($L255+1)/LOG10(設定!$B$44+1)*100)))</f>
        <v/>
      </c>
      <c r="V255" s="25" t="str">
        <f aca="false">IF($C255="","",IF(設定!$B$11=0,0,(O255*設定!$B$4+P255*設定!$B$5+Q255*設定!$B$6+R255*設定!$B$7+S255*設定!$B$8+T255*設定!$B$9+U255*設定!$B$10)/設定!$B$11))</f>
        <v/>
      </c>
      <c r="W255" s="25" t="str">
        <f aca="false">IF($C255="","",IFERROR(INDEX(設定!$B$38:$B$40,MATCH($M255,設定!$A$38:$A$40,0)),1))</f>
        <v/>
      </c>
      <c r="X255" s="26" t="str">
        <f aca="false">IF($C255="","",ROUND(V255*W255,1))</f>
        <v/>
      </c>
      <c r="Y255" s="27" t="str">
        <f aca="false">IF($C255="","",INDEX(設定!$B$49:$B$53,MATCH(X255,設定!$A$49:$A$53,1)))</f>
        <v/>
      </c>
    </row>
    <row r="256" customFormat="false" ht="15" hidden="false" customHeight="false" outlineLevel="0" collapsed="false">
      <c r="A256" s="23" t="n">
        <v>252</v>
      </c>
      <c r="B256" s="24"/>
      <c r="C256" s="9"/>
      <c r="D256" s="9"/>
      <c r="E256" s="15"/>
      <c r="F256" s="9"/>
      <c r="G256" s="17"/>
      <c r="H256" s="9"/>
      <c r="I256" s="9"/>
      <c r="J256" s="9"/>
      <c r="K256" s="9"/>
      <c r="L256" s="17"/>
      <c r="M256" s="9"/>
      <c r="N256" s="9"/>
      <c r="O256" s="25" t="str">
        <f aca="false">IF($C256="","",IFERROR(INDEX(設定!$B$14:$B$18,MATCH($E256,設定!$A$14:$A$18,0)),0))</f>
        <v/>
      </c>
      <c r="P256" s="25" t="str">
        <f aca="false">IF($C256="","",IF(N($G256)&lt;=1,0,MIN(100,LOG10($G256)/LOG10(設定!$B$43)*100)))</f>
        <v/>
      </c>
      <c r="Q256" s="25" t="str">
        <f aca="false">IF($C256="","",IFERROR(INDEX(設定!$B$21:$B$24,MATCH($H256,設定!$A$21:$A$24,0)),0))</f>
        <v/>
      </c>
      <c r="R256" s="25" t="str">
        <f aca="false">IF($C256="","",IF(設定!$B$45&lt;=0,0,MIN(100,N($I256)/設定!$B$45*100)))</f>
        <v/>
      </c>
      <c r="S256" s="25" t="str">
        <f aca="false">IF($C256="","",IFERROR(INDEX(設定!$B$27:$B$29,MATCH($J256,設定!$A$27:$A$29,0)),0))</f>
        <v/>
      </c>
      <c r="T256" s="25" t="str">
        <f aca="false">IF($C256="","",IFERROR(INDEX(設定!$B$32:$B$35,MATCH($K256,設定!$A$32:$A$35,0)),0))</f>
        <v/>
      </c>
      <c r="U256" s="25" t="str">
        <f aca="false">IF($C256="","",IF(N($L256)&lt;1,0,MIN(100,LOG10($L256+1)/LOG10(設定!$B$44+1)*100)))</f>
        <v/>
      </c>
      <c r="V256" s="25" t="str">
        <f aca="false">IF($C256="","",IF(設定!$B$11=0,0,(O256*設定!$B$4+P256*設定!$B$5+Q256*設定!$B$6+R256*設定!$B$7+S256*設定!$B$8+T256*設定!$B$9+U256*設定!$B$10)/設定!$B$11))</f>
        <v/>
      </c>
      <c r="W256" s="25" t="str">
        <f aca="false">IF($C256="","",IFERROR(INDEX(設定!$B$38:$B$40,MATCH($M256,設定!$A$38:$A$40,0)),1))</f>
        <v/>
      </c>
      <c r="X256" s="26" t="str">
        <f aca="false">IF($C256="","",ROUND(V256*W256,1))</f>
        <v/>
      </c>
      <c r="Y256" s="27" t="str">
        <f aca="false">IF($C256="","",INDEX(設定!$B$49:$B$53,MATCH(X256,設定!$A$49:$A$53,1)))</f>
        <v/>
      </c>
    </row>
    <row r="257" customFormat="false" ht="15" hidden="false" customHeight="false" outlineLevel="0" collapsed="false">
      <c r="A257" s="23" t="n">
        <v>253</v>
      </c>
      <c r="B257" s="24"/>
      <c r="C257" s="9"/>
      <c r="D257" s="9"/>
      <c r="E257" s="15"/>
      <c r="F257" s="9"/>
      <c r="G257" s="17"/>
      <c r="H257" s="9"/>
      <c r="I257" s="9"/>
      <c r="J257" s="9"/>
      <c r="K257" s="9"/>
      <c r="L257" s="17"/>
      <c r="M257" s="9"/>
      <c r="N257" s="9"/>
      <c r="O257" s="25" t="str">
        <f aca="false">IF($C257="","",IFERROR(INDEX(設定!$B$14:$B$18,MATCH($E257,設定!$A$14:$A$18,0)),0))</f>
        <v/>
      </c>
      <c r="P257" s="25" t="str">
        <f aca="false">IF($C257="","",IF(N($G257)&lt;=1,0,MIN(100,LOG10($G257)/LOG10(設定!$B$43)*100)))</f>
        <v/>
      </c>
      <c r="Q257" s="25" t="str">
        <f aca="false">IF($C257="","",IFERROR(INDEX(設定!$B$21:$B$24,MATCH($H257,設定!$A$21:$A$24,0)),0))</f>
        <v/>
      </c>
      <c r="R257" s="25" t="str">
        <f aca="false">IF($C257="","",IF(設定!$B$45&lt;=0,0,MIN(100,N($I257)/設定!$B$45*100)))</f>
        <v/>
      </c>
      <c r="S257" s="25" t="str">
        <f aca="false">IF($C257="","",IFERROR(INDEX(設定!$B$27:$B$29,MATCH($J257,設定!$A$27:$A$29,0)),0))</f>
        <v/>
      </c>
      <c r="T257" s="25" t="str">
        <f aca="false">IF($C257="","",IFERROR(INDEX(設定!$B$32:$B$35,MATCH($K257,設定!$A$32:$A$35,0)),0))</f>
        <v/>
      </c>
      <c r="U257" s="25" t="str">
        <f aca="false">IF($C257="","",IF(N($L257)&lt;1,0,MIN(100,LOG10($L257+1)/LOG10(設定!$B$44+1)*100)))</f>
        <v/>
      </c>
      <c r="V257" s="25" t="str">
        <f aca="false">IF($C257="","",IF(設定!$B$11=0,0,(O257*設定!$B$4+P257*設定!$B$5+Q257*設定!$B$6+R257*設定!$B$7+S257*設定!$B$8+T257*設定!$B$9+U257*設定!$B$10)/設定!$B$11))</f>
        <v/>
      </c>
      <c r="W257" s="25" t="str">
        <f aca="false">IF($C257="","",IFERROR(INDEX(設定!$B$38:$B$40,MATCH($M257,設定!$A$38:$A$40,0)),1))</f>
        <v/>
      </c>
      <c r="X257" s="26" t="str">
        <f aca="false">IF($C257="","",ROUND(V257*W257,1))</f>
        <v/>
      </c>
      <c r="Y257" s="27" t="str">
        <f aca="false">IF($C257="","",INDEX(設定!$B$49:$B$53,MATCH(X257,設定!$A$49:$A$53,1)))</f>
        <v/>
      </c>
    </row>
    <row r="258" customFormat="false" ht="15" hidden="false" customHeight="false" outlineLevel="0" collapsed="false">
      <c r="A258" s="23" t="n">
        <v>254</v>
      </c>
      <c r="B258" s="24"/>
      <c r="C258" s="9"/>
      <c r="D258" s="9"/>
      <c r="E258" s="15"/>
      <c r="F258" s="9"/>
      <c r="G258" s="17"/>
      <c r="H258" s="9"/>
      <c r="I258" s="9"/>
      <c r="J258" s="9"/>
      <c r="K258" s="9"/>
      <c r="L258" s="17"/>
      <c r="M258" s="9"/>
      <c r="N258" s="9"/>
      <c r="O258" s="25" t="str">
        <f aca="false">IF($C258="","",IFERROR(INDEX(設定!$B$14:$B$18,MATCH($E258,設定!$A$14:$A$18,0)),0))</f>
        <v/>
      </c>
      <c r="P258" s="25" t="str">
        <f aca="false">IF($C258="","",IF(N($G258)&lt;=1,0,MIN(100,LOG10($G258)/LOG10(設定!$B$43)*100)))</f>
        <v/>
      </c>
      <c r="Q258" s="25" t="str">
        <f aca="false">IF($C258="","",IFERROR(INDEX(設定!$B$21:$B$24,MATCH($H258,設定!$A$21:$A$24,0)),0))</f>
        <v/>
      </c>
      <c r="R258" s="25" t="str">
        <f aca="false">IF($C258="","",IF(設定!$B$45&lt;=0,0,MIN(100,N($I258)/設定!$B$45*100)))</f>
        <v/>
      </c>
      <c r="S258" s="25" t="str">
        <f aca="false">IF($C258="","",IFERROR(INDEX(設定!$B$27:$B$29,MATCH($J258,設定!$A$27:$A$29,0)),0))</f>
        <v/>
      </c>
      <c r="T258" s="25" t="str">
        <f aca="false">IF($C258="","",IFERROR(INDEX(設定!$B$32:$B$35,MATCH($K258,設定!$A$32:$A$35,0)),0))</f>
        <v/>
      </c>
      <c r="U258" s="25" t="str">
        <f aca="false">IF($C258="","",IF(N($L258)&lt;1,0,MIN(100,LOG10($L258+1)/LOG10(設定!$B$44+1)*100)))</f>
        <v/>
      </c>
      <c r="V258" s="25" t="str">
        <f aca="false">IF($C258="","",IF(設定!$B$11=0,0,(O258*設定!$B$4+P258*設定!$B$5+Q258*設定!$B$6+R258*設定!$B$7+S258*設定!$B$8+T258*設定!$B$9+U258*設定!$B$10)/設定!$B$11))</f>
        <v/>
      </c>
      <c r="W258" s="25" t="str">
        <f aca="false">IF($C258="","",IFERROR(INDEX(設定!$B$38:$B$40,MATCH($M258,設定!$A$38:$A$40,0)),1))</f>
        <v/>
      </c>
      <c r="X258" s="26" t="str">
        <f aca="false">IF($C258="","",ROUND(V258*W258,1))</f>
        <v/>
      </c>
      <c r="Y258" s="27" t="str">
        <f aca="false">IF($C258="","",INDEX(設定!$B$49:$B$53,MATCH(X258,設定!$A$49:$A$53,1)))</f>
        <v/>
      </c>
    </row>
    <row r="259" customFormat="false" ht="15" hidden="false" customHeight="false" outlineLevel="0" collapsed="false">
      <c r="A259" s="23" t="n">
        <v>255</v>
      </c>
      <c r="B259" s="24"/>
      <c r="C259" s="9"/>
      <c r="D259" s="9"/>
      <c r="E259" s="15"/>
      <c r="F259" s="9"/>
      <c r="G259" s="17"/>
      <c r="H259" s="9"/>
      <c r="I259" s="9"/>
      <c r="J259" s="9"/>
      <c r="K259" s="9"/>
      <c r="L259" s="17"/>
      <c r="M259" s="9"/>
      <c r="N259" s="9"/>
      <c r="O259" s="25" t="str">
        <f aca="false">IF($C259="","",IFERROR(INDEX(設定!$B$14:$B$18,MATCH($E259,設定!$A$14:$A$18,0)),0))</f>
        <v/>
      </c>
      <c r="P259" s="25" t="str">
        <f aca="false">IF($C259="","",IF(N($G259)&lt;=1,0,MIN(100,LOG10($G259)/LOG10(設定!$B$43)*100)))</f>
        <v/>
      </c>
      <c r="Q259" s="25" t="str">
        <f aca="false">IF($C259="","",IFERROR(INDEX(設定!$B$21:$B$24,MATCH($H259,設定!$A$21:$A$24,0)),0))</f>
        <v/>
      </c>
      <c r="R259" s="25" t="str">
        <f aca="false">IF($C259="","",IF(設定!$B$45&lt;=0,0,MIN(100,N($I259)/設定!$B$45*100)))</f>
        <v/>
      </c>
      <c r="S259" s="25" t="str">
        <f aca="false">IF($C259="","",IFERROR(INDEX(設定!$B$27:$B$29,MATCH($J259,設定!$A$27:$A$29,0)),0))</f>
        <v/>
      </c>
      <c r="T259" s="25" t="str">
        <f aca="false">IF($C259="","",IFERROR(INDEX(設定!$B$32:$B$35,MATCH($K259,設定!$A$32:$A$35,0)),0))</f>
        <v/>
      </c>
      <c r="U259" s="25" t="str">
        <f aca="false">IF($C259="","",IF(N($L259)&lt;1,0,MIN(100,LOG10($L259+1)/LOG10(設定!$B$44+1)*100)))</f>
        <v/>
      </c>
      <c r="V259" s="25" t="str">
        <f aca="false">IF($C259="","",IF(設定!$B$11=0,0,(O259*設定!$B$4+P259*設定!$B$5+Q259*設定!$B$6+R259*設定!$B$7+S259*設定!$B$8+T259*設定!$B$9+U259*設定!$B$10)/設定!$B$11))</f>
        <v/>
      </c>
      <c r="W259" s="25" t="str">
        <f aca="false">IF($C259="","",IFERROR(INDEX(設定!$B$38:$B$40,MATCH($M259,設定!$A$38:$A$40,0)),1))</f>
        <v/>
      </c>
      <c r="X259" s="26" t="str">
        <f aca="false">IF($C259="","",ROUND(V259*W259,1))</f>
        <v/>
      </c>
      <c r="Y259" s="27" t="str">
        <f aca="false">IF($C259="","",INDEX(設定!$B$49:$B$53,MATCH(X259,設定!$A$49:$A$53,1)))</f>
        <v/>
      </c>
    </row>
    <row r="260" customFormat="false" ht="15" hidden="false" customHeight="false" outlineLevel="0" collapsed="false">
      <c r="A260" s="23" t="n">
        <v>256</v>
      </c>
      <c r="B260" s="24"/>
      <c r="C260" s="9"/>
      <c r="D260" s="9"/>
      <c r="E260" s="15"/>
      <c r="F260" s="9"/>
      <c r="G260" s="17"/>
      <c r="H260" s="9"/>
      <c r="I260" s="9"/>
      <c r="J260" s="9"/>
      <c r="K260" s="9"/>
      <c r="L260" s="17"/>
      <c r="M260" s="9"/>
      <c r="N260" s="9"/>
      <c r="O260" s="25" t="str">
        <f aca="false">IF($C260="","",IFERROR(INDEX(設定!$B$14:$B$18,MATCH($E260,設定!$A$14:$A$18,0)),0))</f>
        <v/>
      </c>
      <c r="P260" s="25" t="str">
        <f aca="false">IF($C260="","",IF(N($G260)&lt;=1,0,MIN(100,LOG10($G260)/LOG10(設定!$B$43)*100)))</f>
        <v/>
      </c>
      <c r="Q260" s="25" t="str">
        <f aca="false">IF($C260="","",IFERROR(INDEX(設定!$B$21:$B$24,MATCH($H260,設定!$A$21:$A$24,0)),0))</f>
        <v/>
      </c>
      <c r="R260" s="25" t="str">
        <f aca="false">IF($C260="","",IF(設定!$B$45&lt;=0,0,MIN(100,N($I260)/設定!$B$45*100)))</f>
        <v/>
      </c>
      <c r="S260" s="25" t="str">
        <f aca="false">IF($C260="","",IFERROR(INDEX(設定!$B$27:$B$29,MATCH($J260,設定!$A$27:$A$29,0)),0))</f>
        <v/>
      </c>
      <c r="T260" s="25" t="str">
        <f aca="false">IF($C260="","",IFERROR(INDEX(設定!$B$32:$B$35,MATCH($K260,設定!$A$32:$A$35,0)),0))</f>
        <v/>
      </c>
      <c r="U260" s="25" t="str">
        <f aca="false">IF($C260="","",IF(N($L260)&lt;1,0,MIN(100,LOG10($L260+1)/LOG10(設定!$B$44+1)*100)))</f>
        <v/>
      </c>
      <c r="V260" s="25" t="str">
        <f aca="false">IF($C260="","",IF(設定!$B$11=0,0,(O260*設定!$B$4+P260*設定!$B$5+Q260*設定!$B$6+R260*設定!$B$7+S260*設定!$B$8+T260*設定!$B$9+U260*設定!$B$10)/設定!$B$11))</f>
        <v/>
      </c>
      <c r="W260" s="25" t="str">
        <f aca="false">IF($C260="","",IFERROR(INDEX(設定!$B$38:$B$40,MATCH($M260,設定!$A$38:$A$40,0)),1))</f>
        <v/>
      </c>
      <c r="X260" s="26" t="str">
        <f aca="false">IF($C260="","",ROUND(V260*W260,1))</f>
        <v/>
      </c>
      <c r="Y260" s="27" t="str">
        <f aca="false">IF($C260="","",INDEX(設定!$B$49:$B$53,MATCH(X260,設定!$A$49:$A$53,1)))</f>
        <v/>
      </c>
    </row>
    <row r="261" customFormat="false" ht="15" hidden="false" customHeight="false" outlineLevel="0" collapsed="false">
      <c r="A261" s="23" t="n">
        <v>257</v>
      </c>
      <c r="B261" s="24"/>
      <c r="C261" s="9"/>
      <c r="D261" s="9"/>
      <c r="E261" s="15"/>
      <c r="F261" s="9"/>
      <c r="G261" s="17"/>
      <c r="H261" s="9"/>
      <c r="I261" s="9"/>
      <c r="J261" s="9"/>
      <c r="K261" s="9"/>
      <c r="L261" s="17"/>
      <c r="M261" s="9"/>
      <c r="N261" s="9"/>
      <c r="O261" s="25" t="str">
        <f aca="false">IF($C261="","",IFERROR(INDEX(設定!$B$14:$B$18,MATCH($E261,設定!$A$14:$A$18,0)),0))</f>
        <v/>
      </c>
      <c r="P261" s="25" t="str">
        <f aca="false">IF($C261="","",IF(N($G261)&lt;=1,0,MIN(100,LOG10($G261)/LOG10(設定!$B$43)*100)))</f>
        <v/>
      </c>
      <c r="Q261" s="25" t="str">
        <f aca="false">IF($C261="","",IFERROR(INDEX(設定!$B$21:$B$24,MATCH($H261,設定!$A$21:$A$24,0)),0))</f>
        <v/>
      </c>
      <c r="R261" s="25" t="str">
        <f aca="false">IF($C261="","",IF(設定!$B$45&lt;=0,0,MIN(100,N($I261)/設定!$B$45*100)))</f>
        <v/>
      </c>
      <c r="S261" s="25" t="str">
        <f aca="false">IF($C261="","",IFERROR(INDEX(設定!$B$27:$B$29,MATCH($J261,設定!$A$27:$A$29,0)),0))</f>
        <v/>
      </c>
      <c r="T261" s="25" t="str">
        <f aca="false">IF($C261="","",IFERROR(INDEX(設定!$B$32:$B$35,MATCH($K261,設定!$A$32:$A$35,0)),0))</f>
        <v/>
      </c>
      <c r="U261" s="25" t="str">
        <f aca="false">IF($C261="","",IF(N($L261)&lt;1,0,MIN(100,LOG10($L261+1)/LOG10(設定!$B$44+1)*100)))</f>
        <v/>
      </c>
      <c r="V261" s="25" t="str">
        <f aca="false">IF($C261="","",IF(設定!$B$11=0,0,(O261*設定!$B$4+P261*設定!$B$5+Q261*設定!$B$6+R261*設定!$B$7+S261*設定!$B$8+T261*設定!$B$9+U261*設定!$B$10)/設定!$B$11))</f>
        <v/>
      </c>
      <c r="W261" s="25" t="str">
        <f aca="false">IF($C261="","",IFERROR(INDEX(設定!$B$38:$B$40,MATCH($M261,設定!$A$38:$A$40,0)),1))</f>
        <v/>
      </c>
      <c r="X261" s="26" t="str">
        <f aca="false">IF($C261="","",ROUND(V261*W261,1))</f>
        <v/>
      </c>
      <c r="Y261" s="27" t="str">
        <f aca="false">IF($C261="","",INDEX(設定!$B$49:$B$53,MATCH(X261,設定!$A$49:$A$53,1)))</f>
        <v/>
      </c>
    </row>
    <row r="262" customFormat="false" ht="15" hidden="false" customHeight="false" outlineLevel="0" collapsed="false">
      <c r="A262" s="23" t="n">
        <v>258</v>
      </c>
      <c r="B262" s="24"/>
      <c r="C262" s="9"/>
      <c r="D262" s="9"/>
      <c r="E262" s="15"/>
      <c r="F262" s="9"/>
      <c r="G262" s="17"/>
      <c r="H262" s="9"/>
      <c r="I262" s="9"/>
      <c r="J262" s="9"/>
      <c r="K262" s="9"/>
      <c r="L262" s="17"/>
      <c r="M262" s="9"/>
      <c r="N262" s="9"/>
      <c r="O262" s="25" t="str">
        <f aca="false">IF($C262="","",IFERROR(INDEX(設定!$B$14:$B$18,MATCH($E262,設定!$A$14:$A$18,0)),0))</f>
        <v/>
      </c>
      <c r="P262" s="25" t="str">
        <f aca="false">IF($C262="","",IF(N($G262)&lt;=1,0,MIN(100,LOG10($G262)/LOG10(設定!$B$43)*100)))</f>
        <v/>
      </c>
      <c r="Q262" s="25" t="str">
        <f aca="false">IF($C262="","",IFERROR(INDEX(設定!$B$21:$B$24,MATCH($H262,設定!$A$21:$A$24,0)),0))</f>
        <v/>
      </c>
      <c r="R262" s="25" t="str">
        <f aca="false">IF($C262="","",IF(設定!$B$45&lt;=0,0,MIN(100,N($I262)/設定!$B$45*100)))</f>
        <v/>
      </c>
      <c r="S262" s="25" t="str">
        <f aca="false">IF($C262="","",IFERROR(INDEX(設定!$B$27:$B$29,MATCH($J262,設定!$A$27:$A$29,0)),0))</f>
        <v/>
      </c>
      <c r="T262" s="25" t="str">
        <f aca="false">IF($C262="","",IFERROR(INDEX(設定!$B$32:$B$35,MATCH($K262,設定!$A$32:$A$35,0)),0))</f>
        <v/>
      </c>
      <c r="U262" s="25" t="str">
        <f aca="false">IF($C262="","",IF(N($L262)&lt;1,0,MIN(100,LOG10($L262+1)/LOG10(設定!$B$44+1)*100)))</f>
        <v/>
      </c>
      <c r="V262" s="25" t="str">
        <f aca="false">IF($C262="","",IF(設定!$B$11=0,0,(O262*設定!$B$4+P262*設定!$B$5+Q262*設定!$B$6+R262*設定!$B$7+S262*設定!$B$8+T262*設定!$B$9+U262*設定!$B$10)/設定!$B$11))</f>
        <v/>
      </c>
      <c r="W262" s="25" t="str">
        <f aca="false">IF($C262="","",IFERROR(INDEX(設定!$B$38:$B$40,MATCH($M262,設定!$A$38:$A$40,0)),1))</f>
        <v/>
      </c>
      <c r="X262" s="26" t="str">
        <f aca="false">IF($C262="","",ROUND(V262*W262,1))</f>
        <v/>
      </c>
      <c r="Y262" s="27" t="str">
        <f aca="false">IF($C262="","",INDEX(設定!$B$49:$B$53,MATCH(X262,設定!$A$49:$A$53,1)))</f>
        <v/>
      </c>
    </row>
    <row r="263" customFormat="false" ht="15" hidden="false" customHeight="false" outlineLevel="0" collapsed="false">
      <c r="A263" s="23" t="n">
        <v>259</v>
      </c>
      <c r="B263" s="24"/>
      <c r="C263" s="9"/>
      <c r="D263" s="9"/>
      <c r="E263" s="15"/>
      <c r="F263" s="9"/>
      <c r="G263" s="17"/>
      <c r="H263" s="9"/>
      <c r="I263" s="9"/>
      <c r="J263" s="9"/>
      <c r="K263" s="9"/>
      <c r="L263" s="17"/>
      <c r="M263" s="9"/>
      <c r="N263" s="9"/>
      <c r="O263" s="25" t="str">
        <f aca="false">IF($C263="","",IFERROR(INDEX(設定!$B$14:$B$18,MATCH($E263,設定!$A$14:$A$18,0)),0))</f>
        <v/>
      </c>
      <c r="P263" s="25" t="str">
        <f aca="false">IF($C263="","",IF(N($G263)&lt;=1,0,MIN(100,LOG10($G263)/LOG10(設定!$B$43)*100)))</f>
        <v/>
      </c>
      <c r="Q263" s="25" t="str">
        <f aca="false">IF($C263="","",IFERROR(INDEX(設定!$B$21:$B$24,MATCH($H263,設定!$A$21:$A$24,0)),0))</f>
        <v/>
      </c>
      <c r="R263" s="25" t="str">
        <f aca="false">IF($C263="","",IF(設定!$B$45&lt;=0,0,MIN(100,N($I263)/設定!$B$45*100)))</f>
        <v/>
      </c>
      <c r="S263" s="25" t="str">
        <f aca="false">IF($C263="","",IFERROR(INDEX(設定!$B$27:$B$29,MATCH($J263,設定!$A$27:$A$29,0)),0))</f>
        <v/>
      </c>
      <c r="T263" s="25" t="str">
        <f aca="false">IF($C263="","",IFERROR(INDEX(設定!$B$32:$B$35,MATCH($K263,設定!$A$32:$A$35,0)),0))</f>
        <v/>
      </c>
      <c r="U263" s="25" t="str">
        <f aca="false">IF($C263="","",IF(N($L263)&lt;1,0,MIN(100,LOG10($L263+1)/LOG10(設定!$B$44+1)*100)))</f>
        <v/>
      </c>
      <c r="V263" s="25" t="str">
        <f aca="false">IF($C263="","",IF(設定!$B$11=0,0,(O263*設定!$B$4+P263*設定!$B$5+Q263*設定!$B$6+R263*設定!$B$7+S263*設定!$B$8+T263*設定!$B$9+U263*設定!$B$10)/設定!$B$11))</f>
        <v/>
      </c>
      <c r="W263" s="25" t="str">
        <f aca="false">IF($C263="","",IFERROR(INDEX(設定!$B$38:$B$40,MATCH($M263,設定!$A$38:$A$40,0)),1))</f>
        <v/>
      </c>
      <c r="X263" s="26" t="str">
        <f aca="false">IF($C263="","",ROUND(V263*W263,1))</f>
        <v/>
      </c>
      <c r="Y263" s="27" t="str">
        <f aca="false">IF($C263="","",INDEX(設定!$B$49:$B$53,MATCH(X263,設定!$A$49:$A$53,1)))</f>
        <v/>
      </c>
    </row>
    <row r="264" customFormat="false" ht="15" hidden="false" customHeight="false" outlineLevel="0" collapsed="false">
      <c r="A264" s="23" t="n">
        <v>260</v>
      </c>
      <c r="B264" s="24"/>
      <c r="C264" s="9"/>
      <c r="D264" s="9"/>
      <c r="E264" s="15"/>
      <c r="F264" s="9"/>
      <c r="G264" s="17"/>
      <c r="H264" s="9"/>
      <c r="I264" s="9"/>
      <c r="J264" s="9"/>
      <c r="K264" s="9"/>
      <c r="L264" s="17"/>
      <c r="M264" s="9"/>
      <c r="N264" s="9"/>
      <c r="O264" s="25" t="str">
        <f aca="false">IF($C264="","",IFERROR(INDEX(設定!$B$14:$B$18,MATCH($E264,設定!$A$14:$A$18,0)),0))</f>
        <v/>
      </c>
      <c r="P264" s="25" t="str">
        <f aca="false">IF($C264="","",IF(N($G264)&lt;=1,0,MIN(100,LOG10($G264)/LOG10(設定!$B$43)*100)))</f>
        <v/>
      </c>
      <c r="Q264" s="25" t="str">
        <f aca="false">IF($C264="","",IFERROR(INDEX(設定!$B$21:$B$24,MATCH($H264,設定!$A$21:$A$24,0)),0))</f>
        <v/>
      </c>
      <c r="R264" s="25" t="str">
        <f aca="false">IF($C264="","",IF(設定!$B$45&lt;=0,0,MIN(100,N($I264)/設定!$B$45*100)))</f>
        <v/>
      </c>
      <c r="S264" s="25" t="str">
        <f aca="false">IF($C264="","",IFERROR(INDEX(設定!$B$27:$B$29,MATCH($J264,設定!$A$27:$A$29,0)),0))</f>
        <v/>
      </c>
      <c r="T264" s="25" t="str">
        <f aca="false">IF($C264="","",IFERROR(INDEX(設定!$B$32:$B$35,MATCH($K264,設定!$A$32:$A$35,0)),0))</f>
        <v/>
      </c>
      <c r="U264" s="25" t="str">
        <f aca="false">IF($C264="","",IF(N($L264)&lt;1,0,MIN(100,LOG10($L264+1)/LOG10(設定!$B$44+1)*100)))</f>
        <v/>
      </c>
      <c r="V264" s="25" t="str">
        <f aca="false">IF($C264="","",IF(設定!$B$11=0,0,(O264*設定!$B$4+P264*設定!$B$5+Q264*設定!$B$6+R264*設定!$B$7+S264*設定!$B$8+T264*設定!$B$9+U264*設定!$B$10)/設定!$B$11))</f>
        <v/>
      </c>
      <c r="W264" s="25" t="str">
        <f aca="false">IF($C264="","",IFERROR(INDEX(設定!$B$38:$B$40,MATCH($M264,設定!$A$38:$A$40,0)),1))</f>
        <v/>
      </c>
      <c r="X264" s="26" t="str">
        <f aca="false">IF($C264="","",ROUND(V264*W264,1))</f>
        <v/>
      </c>
      <c r="Y264" s="27" t="str">
        <f aca="false">IF($C264="","",INDEX(設定!$B$49:$B$53,MATCH(X264,設定!$A$49:$A$53,1)))</f>
        <v/>
      </c>
    </row>
    <row r="265" customFormat="false" ht="15" hidden="false" customHeight="false" outlineLevel="0" collapsed="false">
      <c r="A265" s="23" t="n">
        <v>261</v>
      </c>
      <c r="B265" s="24"/>
      <c r="C265" s="9"/>
      <c r="D265" s="9"/>
      <c r="E265" s="15"/>
      <c r="F265" s="9"/>
      <c r="G265" s="17"/>
      <c r="H265" s="9"/>
      <c r="I265" s="9"/>
      <c r="J265" s="9"/>
      <c r="K265" s="9"/>
      <c r="L265" s="17"/>
      <c r="M265" s="9"/>
      <c r="N265" s="9"/>
      <c r="O265" s="25" t="str">
        <f aca="false">IF($C265="","",IFERROR(INDEX(設定!$B$14:$B$18,MATCH($E265,設定!$A$14:$A$18,0)),0))</f>
        <v/>
      </c>
      <c r="P265" s="25" t="str">
        <f aca="false">IF($C265="","",IF(N($G265)&lt;=1,0,MIN(100,LOG10($G265)/LOG10(設定!$B$43)*100)))</f>
        <v/>
      </c>
      <c r="Q265" s="25" t="str">
        <f aca="false">IF($C265="","",IFERROR(INDEX(設定!$B$21:$B$24,MATCH($H265,設定!$A$21:$A$24,0)),0))</f>
        <v/>
      </c>
      <c r="R265" s="25" t="str">
        <f aca="false">IF($C265="","",IF(設定!$B$45&lt;=0,0,MIN(100,N($I265)/設定!$B$45*100)))</f>
        <v/>
      </c>
      <c r="S265" s="25" t="str">
        <f aca="false">IF($C265="","",IFERROR(INDEX(設定!$B$27:$B$29,MATCH($J265,設定!$A$27:$A$29,0)),0))</f>
        <v/>
      </c>
      <c r="T265" s="25" t="str">
        <f aca="false">IF($C265="","",IFERROR(INDEX(設定!$B$32:$B$35,MATCH($K265,設定!$A$32:$A$35,0)),0))</f>
        <v/>
      </c>
      <c r="U265" s="25" t="str">
        <f aca="false">IF($C265="","",IF(N($L265)&lt;1,0,MIN(100,LOG10($L265+1)/LOG10(設定!$B$44+1)*100)))</f>
        <v/>
      </c>
      <c r="V265" s="25" t="str">
        <f aca="false">IF($C265="","",IF(設定!$B$11=0,0,(O265*設定!$B$4+P265*設定!$B$5+Q265*設定!$B$6+R265*設定!$B$7+S265*設定!$B$8+T265*設定!$B$9+U265*設定!$B$10)/設定!$B$11))</f>
        <v/>
      </c>
      <c r="W265" s="25" t="str">
        <f aca="false">IF($C265="","",IFERROR(INDEX(設定!$B$38:$B$40,MATCH($M265,設定!$A$38:$A$40,0)),1))</f>
        <v/>
      </c>
      <c r="X265" s="26" t="str">
        <f aca="false">IF($C265="","",ROUND(V265*W265,1))</f>
        <v/>
      </c>
      <c r="Y265" s="27" t="str">
        <f aca="false">IF($C265="","",INDEX(設定!$B$49:$B$53,MATCH(X265,設定!$A$49:$A$53,1)))</f>
        <v/>
      </c>
    </row>
    <row r="266" customFormat="false" ht="15" hidden="false" customHeight="false" outlineLevel="0" collapsed="false">
      <c r="A266" s="23" t="n">
        <v>262</v>
      </c>
      <c r="B266" s="24"/>
      <c r="C266" s="9"/>
      <c r="D266" s="9"/>
      <c r="E266" s="15"/>
      <c r="F266" s="9"/>
      <c r="G266" s="17"/>
      <c r="H266" s="9"/>
      <c r="I266" s="9"/>
      <c r="J266" s="9"/>
      <c r="K266" s="9"/>
      <c r="L266" s="17"/>
      <c r="M266" s="9"/>
      <c r="N266" s="9"/>
      <c r="O266" s="25" t="str">
        <f aca="false">IF($C266="","",IFERROR(INDEX(設定!$B$14:$B$18,MATCH($E266,設定!$A$14:$A$18,0)),0))</f>
        <v/>
      </c>
      <c r="P266" s="25" t="str">
        <f aca="false">IF($C266="","",IF(N($G266)&lt;=1,0,MIN(100,LOG10($G266)/LOG10(設定!$B$43)*100)))</f>
        <v/>
      </c>
      <c r="Q266" s="25" t="str">
        <f aca="false">IF($C266="","",IFERROR(INDEX(設定!$B$21:$B$24,MATCH($H266,設定!$A$21:$A$24,0)),0))</f>
        <v/>
      </c>
      <c r="R266" s="25" t="str">
        <f aca="false">IF($C266="","",IF(設定!$B$45&lt;=0,0,MIN(100,N($I266)/設定!$B$45*100)))</f>
        <v/>
      </c>
      <c r="S266" s="25" t="str">
        <f aca="false">IF($C266="","",IFERROR(INDEX(設定!$B$27:$B$29,MATCH($J266,設定!$A$27:$A$29,0)),0))</f>
        <v/>
      </c>
      <c r="T266" s="25" t="str">
        <f aca="false">IF($C266="","",IFERROR(INDEX(設定!$B$32:$B$35,MATCH($K266,設定!$A$32:$A$35,0)),0))</f>
        <v/>
      </c>
      <c r="U266" s="25" t="str">
        <f aca="false">IF($C266="","",IF(N($L266)&lt;1,0,MIN(100,LOG10($L266+1)/LOG10(設定!$B$44+1)*100)))</f>
        <v/>
      </c>
      <c r="V266" s="25" t="str">
        <f aca="false">IF($C266="","",IF(設定!$B$11=0,0,(O266*設定!$B$4+P266*設定!$B$5+Q266*設定!$B$6+R266*設定!$B$7+S266*設定!$B$8+T266*設定!$B$9+U266*設定!$B$10)/設定!$B$11))</f>
        <v/>
      </c>
      <c r="W266" s="25" t="str">
        <f aca="false">IF($C266="","",IFERROR(INDEX(設定!$B$38:$B$40,MATCH($M266,設定!$A$38:$A$40,0)),1))</f>
        <v/>
      </c>
      <c r="X266" s="26" t="str">
        <f aca="false">IF($C266="","",ROUND(V266*W266,1))</f>
        <v/>
      </c>
      <c r="Y266" s="27" t="str">
        <f aca="false">IF($C266="","",INDEX(設定!$B$49:$B$53,MATCH(X266,設定!$A$49:$A$53,1)))</f>
        <v/>
      </c>
    </row>
    <row r="267" customFormat="false" ht="15" hidden="false" customHeight="false" outlineLevel="0" collapsed="false">
      <c r="A267" s="23" t="n">
        <v>263</v>
      </c>
      <c r="B267" s="24"/>
      <c r="C267" s="9"/>
      <c r="D267" s="9"/>
      <c r="E267" s="15"/>
      <c r="F267" s="9"/>
      <c r="G267" s="17"/>
      <c r="H267" s="9"/>
      <c r="I267" s="9"/>
      <c r="J267" s="9"/>
      <c r="K267" s="9"/>
      <c r="L267" s="17"/>
      <c r="M267" s="9"/>
      <c r="N267" s="9"/>
      <c r="O267" s="25" t="str">
        <f aca="false">IF($C267="","",IFERROR(INDEX(設定!$B$14:$B$18,MATCH($E267,設定!$A$14:$A$18,0)),0))</f>
        <v/>
      </c>
      <c r="P267" s="25" t="str">
        <f aca="false">IF($C267="","",IF(N($G267)&lt;=1,0,MIN(100,LOG10($G267)/LOG10(設定!$B$43)*100)))</f>
        <v/>
      </c>
      <c r="Q267" s="25" t="str">
        <f aca="false">IF($C267="","",IFERROR(INDEX(設定!$B$21:$B$24,MATCH($H267,設定!$A$21:$A$24,0)),0))</f>
        <v/>
      </c>
      <c r="R267" s="25" t="str">
        <f aca="false">IF($C267="","",IF(設定!$B$45&lt;=0,0,MIN(100,N($I267)/設定!$B$45*100)))</f>
        <v/>
      </c>
      <c r="S267" s="25" t="str">
        <f aca="false">IF($C267="","",IFERROR(INDEX(設定!$B$27:$B$29,MATCH($J267,設定!$A$27:$A$29,0)),0))</f>
        <v/>
      </c>
      <c r="T267" s="25" t="str">
        <f aca="false">IF($C267="","",IFERROR(INDEX(設定!$B$32:$B$35,MATCH($K267,設定!$A$32:$A$35,0)),0))</f>
        <v/>
      </c>
      <c r="U267" s="25" t="str">
        <f aca="false">IF($C267="","",IF(N($L267)&lt;1,0,MIN(100,LOG10($L267+1)/LOG10(設定!$B$44+1)*100)))</f>
        <v/>
      </c>
      <c r="V267" s="25" t="str">
        <f aca="false">IF($C267="","",IF(設定!$B$11=0,0,(O267*設定!$B$4+P267*設定!$B$5+Q267*設定!$B$6+R267*設定!$B$7+S267*設定!$B$8+T267*設定!$B$9+U267*設定!$B$10)/設定!$B$11))</f>
        <v/>
      </c>
      <c r="W267" s="25" t="str">
        <f aca="false">IF($C267="","",IFERROR(INDEX(設定!$B$38:$B$40,MATCH($M267,設定!$A$38:$A$40,0)),1))</f>
        <v/>
      </c>
      <c r="X267" s="26" t="str">
        <f aca="false">IF($C267="","",ROUND(V267*W267,1))</f>
        <v/>
      </c>
      <c r="Y267" s="27" t="str">
        <f aca="false">IF($C267="","",INDEX(設定!$B$49:$B$53,MATCH(X267,設定!$A$49:$A$53,1)))</f>
        <v/>
      </c>
    </row>
    <row r="268" customFormat="false" ht="15" hidden="false" customHeight="false" outlineLevel="0" collapsed="false">
      <c r="A268" s="23" t="n">
        <v>264</v>
      </c>
      <c r="B268" s="24"/>
      <c r="C268" s="9"/>
      <c r="D268" s="9"/>
      <c r="E268" s="15"/>
      <c r="F268" s="9"/>
      <c r="G268" s="17"/>
      <c r="H268" s="9"/>
      <c r="I268" s="9"/>
      <c r="J268" s="9"/>
      <c r="K268" s="9"/>
      <c r="L268" s="17"/>
      <c r="M268" s="9"/>
      <c r="N268" s="9"/>
      <c r="O268" s="25" t="str">
        <f aca="false">IF($C268="","",IFERROR(INDEX(設定!$B$14:$B$18,MATCH($E268,設定!$A$14:$A$18,0)),0))</f>
        <v/>
      </c>
      <c r="P268" s="25" t="str">
        <f aca="false">IF($C268="","",IF(N($G268)&lt;=1,0,MIN(100,LOG10($G268)/LOG10(設定!$B$43)*100)))</f>
        <v/>
      </c>
      <c r="Q268" s="25" t="str">
        <f aca="false">IF($C268="","",IFERROR(INDEX(設定!$B$21:$B$24,MATCH($H268,設定!$A$21:$A$24,0)),0))</f>
        <v/>
      </c>
      <c r="R268" s="25" t="str">
        <f aca="false">IF($C268="","",IF(設定!$B$45&lt;=0,0,MIN(100,N($I268)/設定!$B$45*100)))</f>
        <v/>
      </c>
      <c r="S268" s="25" t="str">
        <f aca="false">IF($C268="","",IFERROR(INDEX(設定!$B$27:$B$29,MATCH($J268,設定!$A$27:$A$29,0)),0))</f>
        <v/>
      </c>
      <c r="T268" s="25" t="str">
        <f aca="false">IF($C268="","",IFERROR(INDEX(設定!$B$32:$B$35,MATCH($K268,設定!$A$32:$A$35,0)),0))</f>
        <v/>
      </c>
      <c r="U268" s="25" t="str">
        <f aca="false">IF($C268="","",IF(N($L268)&lt;1,0,MIN(100,LOG10($L268+1)/LOG10(設定!$B$44+1)*100)))</f>
        <v/>
      </c>
      <c r="V268" s="25" t="str">
        <f aca="false">IF($C268="","",IF(設定!$B$11=0,0,(O268*設定!$B$4+P268*設定!$B$5+Q268*設定!$B$6+R268*設定!$B$7+S268*設定!$B$8+T268*設定!$B$9+U268*設定!$B$10)/設定!$B$11))</f>
        <v/>
      </c>
      <c r="W268" s="25" t="str">
        <f aca="false">IF($C268="","",IFERROR(INDEX(設定!$B$38:$B$40,MATCH($M268,設定!$A$38:$A$40,0)),1))</f>
        <v/>
      </c>
      <c r="X268" s="26" t="str">
        <f aca="false">IF($C268="","",ROUND(V268*W268,1))</f>
        <v/>
      </c>
      <c r="Y268" s="27" t="str">
        <f aca="false">IF($C268="","",INDEX(設定!$B$49:$B$53,MATCH(X268,設定!$A$49:$A$53,1)))</f>
        <v/>
      </c>
    </row>
    <row r="269" customFormat="false" ht="15" hidden="false" customHeight="false" outlineLevel="0" collapsed="false">
      <c r="A269" s="23" t="n">
        <v>265</v>
      </c>
      <c r="B269" s="24"/>
      <c r="C269" s="9"/>
      <c r="D269" s="9"/>
      <c r="E269" s="15"/>
      <c r="F269" s="9"/>
      <c r="G269" s="17"/>
      <c r="H269" s="9"/>
      <c r="I269" s="9"/>
      <c r="J269" s="9"/>
      <c r="K269" s="9"/>
      <c r="L269" s="17"/>
      <c r="M269" s="9"/>
      <c r="N269" s="9"/>
      <c r="O269" s="25" t="str">
        <f aca="false">IF($C269="","",IFERROR(INDEX(設定!$B$14:$B$18,MATCH($E269,設定!$A$14:$A$18,0)),0))</f>
        <v/>
      </c>
      <c r="P269" s="25" t="str">
        <f aca="false">IF($C269="","",IF(N($G269)&lt;=1,0,MIN(100,LOG10($G269)/LOG10(設定!$B$43)*100)))</f>
        <v/>
      </c>
      <c r="Q269" s="25" t="str">
        <f aca="false">IF($C269="","",IFERROR(INDEX(設定!$B$21:$B$24,MATCH($H269,設定!$A$21:$A$24,0)),0))</f>
        <v/>
      </c>
      <c r="R269" s="25" t="str">
        <f aca="false">IF($C269="","",IF(設定!$B$45&lt;=0,0,MIN(100,N($I269)/設定!$B$45*100)))</f>
        <v/>
      </c>
      <c r="S269" s="25" t="str">
        <f aca="false">IF($C269="","",IFERROR(INDEX(設定!$B$27:$B$29,MATCH($J269,設定!$A$27:$A$29,0)),0))</f>
        <v/>
      </c>
      <c r="T269" s="25" t="str">
        <f aca="false">IF($C269="","",IFERROR(INDEX(設定!$B$32:$B$35,MATCH($K269,設定!$A$32:$A$35,0)),0))</f>
        <v/>
      </c>
      <c r="U269" s="25" t="str">
        <f aca="false">IF($C269="","",IF(N($L269)&lt;1,0,MIN(100,LOG10($L269+1)/LOG10(設定!$B$44+1)*100)))</f>
        <v/>
      </c>
      <c r="V269" s="25" t="str">
        <f aca="false">IF($C269="","",IF(設定!$B$11=0,0,(O269*設定!$B$4+P269*設定!$B$5+Q269*設定!$B$6+R269*設定!$B$7+S269*設定!$B$8+T269*設定!$B$9+U269*設定!$B$10)/設定!$B$11))</f>
        <v/>
      </c>
      <c r="W269" s="25" t="str">
        <f aca="false">IF($C269="","",IFERROR(INDEX(設定!$B$38:$B$40,MATCH($M269,設定!$A$38:$A$40,0)),1))</f>
        <v/>
      </c>
      <c r="X269" s="26" t="str">
        <f aca="false">IF($C269="","",ROUND(V269*W269,1))</f>
        <v/>
      </c>
      <c r="Y269" s="27" t="str">
        <f aca="false">IF($C269="","",INDEX(設定!$B$49:$B$53,MATCH(X269,設定!$A$49:$A$53,1)))</f>
        <v/>
      </c>
    </row>
    <row r="270" customFormat="false" ht="15" hidden="false" customHeight="false" outlineLevel="0" collapsed="false">
      <c r="A270" s="23" t="n">
        <v>266</v>
      </c>
      <c r="B270" s="24"/>
      <c r="C270" s="9"/>
      <c r="D270" s="9"/>
      <c r="E270" s="15"/>
      <c r="F270" s="9"/>
      <c r="G270" s="17"/>
      <c r="H270" s="9"/>
      <c r="I270" s="9"/>
      <c r="J270" s="9"/>
      <c r="K270" s="9"/>
      <c r="L270" s="17"/>
      <c r="M270" s="9"/>
      <c r="N270" s="9"/>
      <c r="O270" s="25" t="str">
        <f aca="false">IF($C270="","",IFERROR(INDEX(設定!$B$14:$B$18,MATCH($E270,設定!$A$14:$A$18,0)),0))</f>
        <v/>
      </c>
      <c r="P270" s="25" t="str">
        <f aca="false">IF($C270="","",IF(N($G270)&lt;=1,0,MIN(100,LOG10($G270)/LOG10(設定!$B$43)*100)))</f>
        <v/>
      </c>
      <c r="Q270" s="25" t="str">
        <f aca="false">IF($C270="","",IFERROR(INDEX(設定!$B$21:$B$24,MATCH($H270,設定!$A$21:$A$24,0)),0))</f>
        <v/>
      </c>
      <c r="R270" s="25" t="str">
        <f aca="false">IF($C270="","",IF(設定!$B$45&lt;=0,0,MIN(100,N($I270)/設定!$B$45*100)))</f>
        <v/>
      </c>
      <c r="S270" s="25" t="str">
        <f aca="false">IF($C270="","",IFERROR(INDEX(設定!$B$27:$B$29,MATCH($J270,設定!$A$27:$A$29,0)),0))</f>
        <v/>
      </c>
      <c r="T270" s="25" t="str">
        <f aca="false">IF($C270="","",IFERROR(INDEX(設定!$B$32:$B$35,MATCH($K270,設定!$A$32:$A$35,0)),0))</f>
        <v/>
      </c>
      <c r="U270" s="25" t="str">
        <f aca="false">IF($C270="","",IF(N($L270)&lt;1,0,MIN(100,LOG10($L270+1)/LOG10(設定!$B$44+1)*100)))</f>
        <v/>
      </c>
      <c r="V270" s="25" t="str">
        <f aca="false">IF($C270="","",IF(設定!$B$11=0,0,(O270*設定!$B$4+P270*設定!$B$5+Q270*設定!$B$6+R270*設定!$B$7+S270*設定!$B$8+T270*設定!$B$9+U270*設定!$B$10)/設定!$B$11))</f>
        <v/>
      </c>
      <c r="W270" s="25" t="str">
        <f aca="false">IF($C270="","",IFERROR(INDEX(設定!$B$38:$B$40,MATCH($M270,設定!$A$38:$A$40,0)),1))</f>
        <v/>
      </c>
      <c r="X270" s="26" t="str">
        <f aca="false">IF($C270="","",ROUND(V270*W270,1))</f>
        <v/>
      </c>
      <c r="Y270" s="27" t="str">
        <f aca="false">IF($C270="","",INDEX(設定!$B$49:$B$53,MATCH(X270,設定!$A$49:$A$53,1)))</f>
        <v/>
      </c>
    </row>
    <row r="271" customFormat="false" ht="15" hidden="false" customHeight="false" outlineLevel="0" collapsed="false">
      <c r="A271" s="23" t="n">
        <v>267</v>
      </c>
      <c r="B271" s="24"/>
      <c r="C271" s="9"/>
      <c r="D271" s="9"/>
      <c r="E271" s="15"/>
      <c r="F271" s="9"/>
      <c r="G271" s="17"/>
      <c r="H271" s="9"/>
      <c r="I271" s="9"/>
      <c r="J271" s="9"/>
      <c r="K271" s="9"/>
      <c r="L271" s="17"/>
      <c r="M271" s="9"/>
      <c r="N271" s="9"/>
      <c r="O271" s="25" t="str">
        <f aca="false">IF($C271="","",IFERROR(INDEX(設定!$B$14:$B$18,MATCH($E271,設定!$A$14:$A$18,0)),0))</f>
        <v/>
      </c>
      <c r="P271" s="25" t="str">
        <f aca="false">IF($C271="","",IF(N($G271)&lt;=1,0,MIN(100,LOG10($G271)/LOG10(設定!$B$43)*100)))</f>
        <v/>
      </c>
      <c r="Q271" s="25" t="str">
        <f aca="false">IF($C271="","",IFERROR(INDEX(設定!$B$21:$B$24,MATCH($H271,設定!$A$21:$A$24,0)),0))</f>
        <v/>
      </c>
      <c r="R271" s="25" t="str">
        <f aca="false">IF($C271="","",IF(設定!$B$45&lt;=0,0,MIN(100,N($I271)/設定!$B$45*100)))</f>
        <v/>
      </c>
      <c r="S271" s="25" t="str">
        <f aca="false">IF($C271="","",IFERROR(INDEX(設定!$B$27:$B$29,MATCH($J271,設定!$A$27:$A$29,0)),0))</f>
        <v/>
      </c>
      <c r="T271" s="25" t="str">
        <f aca="false">IF($C271="","",IFERROR(INDEX(設定!$B$32:$B$35,MATCH($K271,設定!$A$32:$A$35,0)),0))</f>
        <v/>
      </c>
      <c r="U271" s="25" t="str">
        <f aca="false">IF($C271="","",IF(N($L271)&lt;1,0,MIN(100,LOG10($L271+1)/LOG10(設定!$B$44+1)*100)))</f>
        <v/>
      </c>
      <c r="V271" s="25" t="str">
        <f aca="false">IF($C271="","",IF(設定!$B$11=0,0,(O271*設定!$B$4+P271*設定!$B$5+Q271*設定!$B$6+R271*設定!$B$7+S271*設定!$B$8+T271*設定!$B$9+U271*設定!$B$10)/設定!$B$11))</f>
        <v/>
      </c>
      <c r="W271" s="25" t="str">
        <f aca="false">IF($C271="","",IFERROR(INDEX(設定!$B$38:$B$40,MATCH($M271,設定!$A$38:$A$40,0)),1))</f>
        <v/>
      </c>
      <c r="X271" s="26" t="str">
        <f aca="false">IF($C271="","",ROUND(V271*W271,1))</f>
        <v/>
      </c>
      <c r="Y271" s="27" t="str">
        <f aca="false">IF($C271="","",INDEX(設定!$B$49:$B$53,MATCH(X271,設定!$A$49:$A$53,1)))</f>
        <v/>
      </c>
    </row>
    <row r="272" customFormat="false" ht="15" hidden="false" customHeight="false" outlineLevel="0" collapsed="false">
      <c r="A272" s="23" t="n">
        <v>268</v>
      </c>
      <c r="B272" s="24"/>
      <c r="C272" s="9"/>
      <c r="D272" s="9"/>
      <c r="E272" s="15"/>
      <c r="F272" s="9"/>
      <c r="G272" s="17"/>
      <c r="H272" s="9"/>
      <c r="I272" s="9"/>
      <c r="J272" s="9"/>
      <c r="K272" s="9"/>
      <c r="L272" s="17"/>
      <c r="M272" s="9"/>
      <c r="N272" s="9"/>
      <c r="O272" s="25" t="str">
        <f aca="false">IF($C272="","",IFERROR(INDEX(設定!$B$14:$B$18,MATCH($E272,設定!$A$14:$A$18,0)),0))</f>
        <v/>
      </c>
      <c r="P272" s="25" t="str">
        <f aca="false">IF($C272="","",IF(N($G272)&lt;=1,0,MIN(100,LOG10($G272)/LOG10(設定!$B$43)*100)))</f>
        <v/>
      </c>
      <c r="Q272" s="25" t="str">
        <f aca="false">IF($C272="","",IFERROR(INDEX(設定!$B$21:$B$24,MATCH($H272,設定!$A$21:$A$24,0)),0))</f>
        <v/>
      </c>
      <c r="R272" s="25" t="str">
        <f aca="false">IF($C272="","",IF(設定!$B$45&lt;=0,0,MIN(100,N($I272)/設定!$B$45*100)))</f>
        <v/>
      </c>
      <c r="S272" s="25" t="str">
        <f aca="false">IF($C272="","",IFERROR(INDEX(設定!$B$27:$B$29,MATCH($J272,設定!$A$27:$A$29,0)),0))</f>
        <v/>
      </c>
      <c r="T272" s="25" t="str">
        <f aca="false">IF($C272="","",IFERROR(INDEX(設定!$B$32:$B$35,MATCH($K272,設定!$A$32:$A$35,0)),0))</f>
        <v/>
      </c>
      <c r="U272" s="25" t="str">
        <f aca="false">IF($C272="","",IF(N($L272)&lt;1,0,MIN(100,LOG10($L272+1)/LOG10(設定!$B$44+1)*100)))</f>
        <v/>
      </c>
      <c r="V272" s="25" t="str">
        <f aca="false">IF($C272="","",IF(設定!$B$11=0,0,(O272*設定!$B$4+P272*設定!$B$5+Q272*設定!$B$6+R272*設定!$B$7+S272*設定!$B$8+T272*設定!$B$9+U272*設定!$B$10)/設定!$B$11))</f>
        <v/>
      </c>
      <c r="W272" s="25" t="str">
        <f aca="false">IF($C272="","",IFERROR(INDEX(設定!$B$38:$B$40,MATCH($M272,設定!$A$38:$A$40,0)),1))</f>
        <v/>
      </c>
      <c r="X272" s="26" t="str">
        <f aca="false">IF($C272="","",ROUND(V272*W272,1))</f>
        <v/>
      </c>
      <c r="Y272" s="27" t="str">
        <f aca="false">IF($C272="","",INDEX(設定!$B$49:$B$53,MATCH(X272,設定!$A$49:$A$53,1)))</f>
        <v/>
      </c>
    </row>
    <row r="273" customFormat="false" ht="15" hidden="false" customHeight="false" outlineLevel="0" collapsed="false">
      <c r="A273" s="23" t="n">
        <v>269</v>
      </c>
      <c r="B273" s="24"/>
      <c r="C273" s="9"/>
      <c r="D273" s="9"/>
      <c r="E273" s="15"/>
      <c r="F273" s="9"/>
      <c r="G273" s="17"/>
      <c r="H273" s="9"/>
      <c r="I273" s="9"/>
      <c r="J273" s="9"/>
      <c r="K273" s="9"/>
      <c r="L273" s="17"/>
      <c r="M273" s="9"/>
      <c r="N273" s="9"/>
      <c r="O273" s="25" t="str">
        <f aca="false">IF($C273="","",IFERROR(INDEX(設定!$B$14:$B$18,MATCH($E273,設定!$A$14:$A$18,0)),0))</f>
        <v/>
      </c>
      <c r="P273" s="25" t="str">
        <f aca="false">IF($C273="","",IF(N($G273)&lt;=1,0,MIN(100,LOG10($G273)/LOG10(設定!$B$43)*100)))</f>
        <v/>
      </c>
      <c r="Q273" s="25" t="str">
        <f aca="false">IF($C273="","",IFERROR(INDEX(設定!$B$21:$B$24,MATCH($H273,設定!$A$21:$A$24,0)),0))</f>
        <v/>
      </c>
      <c r="R273" s="25" t="str">
        <f aca="false">IF($C273="","",IF(設定!$B$45&lt;=0,0,MIN(100,N($I273)/設定!$B$45*100)))</f>
        <v/>
      </c>
      <c r="S273" s="25" t="str">
        <f aca="false">IF($C273="","",IFERROR(INDEX(設定!$B$27:$B$29,MATCH($J273,設定!$A$27:$A$29,0)),0))</f>
        <v/>
      </c>
      <c r="T273" s="25" t="str">
        <f aca="false">IF($C273="","",IFERROR(INDEX(設定!$B$32:$B$35,MATCH($K273,設定!$A$32:$A$35,0)),0))</f>
        <v/>
      </c>
      <c r="U273" s="25" t="str">
        <f aca="false">IF($C273="","",IF(N($L273)&lt;1,0,MIN(100,LOG10($L273+1)/LOG10(設定!$B$44+1)*100)))</f>
        <v/>
      </c>
      <c r="V273" s="25" t="str">
        <f aca="false">IF($C273="","",IF(設定!$B$11=0,0,(O273*設定!$B$4+P273*設定!$B$5+Q273*設定!$B$6+R273*設定!$B$7+S273*設定!$B$8+T273*設定!$B$9+U273*設定!$B$10)/設定!$B$11))</f>
        <v/>
      </c>
      <c r="W273" s="25" t="str">
        <f aca="false">IF($C273="","",IFERROR(INDEX(設定!$B$38:$B$40,MATCH($M273,設定!$A$38:$A$40,0)),1))</f>
        <v/>
      </c>
      <c r="X273" s="26" t="str">
        <f aca="false">IF($C273="","",ROUND(V273*W273,1))</f>
        <v/>
      </c>
      <c r="Y273" s="27" t="str">
        <f aca="false">IF($C273="","",INDEX(設定!$B$49:$B$53,MATCH(X273,設定!$A$49:$A$53,1)))</f>
        <v/>
      </c>
    </row>
    <row r="274" customFormat="false" ht="15" hidden="false" customHeight="false" outlineLevel="0" collapsed="false">
      <c r="A274" s="23" t="n">
        <v>270</v>
      </c>
      <c r="B274" s="24"/>
      <c r="C274" s="9"/>
      <c r="D274" s="9"/>
      <c r="E274" s="15"/>
      <c r="F274" s="9"/>
      <c r="G274" s="17"/>
      <c r="H274" s="9"/>
      <c r="I274" s="9"/>
      <c r="J274" s="9"/>
      <c r="K274" s="9"/>
      <c r="L274" s="17"/>
      <c r="M274" s="9"/>
      <c r="N274" s="9"/>
      <c r="O274" s="25" t="str">
        <f aca="false">IF($C274="","",IFERROR(INDEX(設定!$B$14:$B$18,MATCH($E274,設定!$A$14:$A$18,0)),0))</f>
        <v/>
      </c>
      <c r="P274" s="25" t="str">
        <f aca="false">IF($C274="","",IF(N($G274)&lt;=1,0,MIN(100,LOG10($G274)/LOG10(設定!$B$43)*100)))</f>
        <v/>
      </c>
      <c r="Q274" s="25" t="str">
        <f aca="false">IF($C274="","",IFERROR(INDEX(設定!$B$21:$B$24,MATCH($H274,設定!$A$21:$A$24,0)),0))</f>
        <v/>
      </c>
      <c r="R274" s="25" t="str">
        <f aca="false">IF($C274="","",IF(設定!$B$45&lt;=0,0,MIN(100,N($I274)/設定!$B$45*100)))</f>
        <v/>
      </c>
      <c r="S274" s="25" t="str">
        <f aca="false">IF($C274="","",IFERROR(INDEX(設定!$B$27:$B$29,MATCH($J274,設定!$A$27:$A$29,0)),0))</f>
        <v/>
      </c>
      <c r="T274" s="25" t="str">
        <f aca="false">IF($C274="","",IFERROR(INDEX(設定!$B$32:$B$35,MATCH($K274,設定!$A$32:$A$35,0)),0))</f>
        <v/>
      </c>
      <c r="U274" s="25" t="str">
        <f aca="false">IF($C274="","",IF(N($L274)&lt;1,0,MIN(100,LOG10($L274+1)/LOG10(設定!$B$44+1)*100)))</f>
        <v/>
      </c>
      <c r="V274" s="25" t="str">
        <f aca="false">IF($C274="","",IF(設定!$B$11=0,0,(O274*設定!$B$4+P274*設定!$B$5+Q274*設定!$B$6+R274*設定!$B$7+S274*設定!$B$8+T274*設定!$B$9+U274*設定!$B$10)/設定!$B$11))</f>
        <v/>
      </c>
      <c r="W274" s="25" t="str">
        <f aca="false">IF($C274="","",IFERROR(INDEX(設定!$B$38:$B$40,MATCH($M274,設定!$A$38:$A$40,0)),1))</f>
        <v/>
      </c>
      <c r="X274" s="26" t="str">
        <f aca="false">IF($C274="","",ROUND(V274*W274,1))</f>
        <v/>
      </c>
      <c r="Y274" s="27" t="str">
        <f aca="false">IF($C274="","",INDEX(設定!$B$49:$B$53,MATCH(X274,設定!$A$49:$A$53,1)))</f>
        <v/>
      </c>
    </row>
    <row r="275" customFormat="false" ht="15" hidden="false" customHeight="false" outlineLevel="0" collapsed="false">
      <c r="A275" s="23" t="n">
        <v>271</v>
      </c>
      <c r="B275" s="24"/>
      <c r="C275" s="9"/>
      <c r="D275" s="9"/>
      <c r="E275" s="15"/>
      <c r="F275" s="9"/>
      <c r="G275" s="17"/>
      <c r="H275" s="9"/>
      <c r="I275" s="9"/>
      <c r="J275" s="9"/>
      <c r="K275" s="9"/>
      <c r="L275" s="17"/>
      <c r="M275" s="9"/>
      <c r="N275" s="9"/>
      <c r="O275" s="25" t="str">
        <f aca="false">IF($C275="","",IFERROR(INDEX(設定!$B$14:$B$18,MATCH($E275,設定!$A$14:$A$18,0)),0))</f>
        <v/>
      </c>
      <c r="P275" s="25" t="str">
        <f aca="false">IF($C275="","",IF(N($G275)&lt;=1,0,MIN(100,LOG10($G275)/LOG10(設定!$B$43)*100)))</f>
        <v/>
      </c>
      <c r="Q275" s="25" t="str">
        <f aca="false">IF($C275="","",IFERROR(INDEX(設定!$B$21:$B$24,MATCH($H275,設定!$A$21:$A$24,0)),0))</f>
        <v/>
      </c>
      <c r="R275" s="25" t="str">
        <f aca="false">IF($C275="","",IF(設定!$B$45&lt;=0,0,MIN(100,N($I275)/設定!$B$45*100)))</f>
        <v/>
      </c>
      <c r="S275" s="25" t="str">
        <f aca="false">IF($C275="","",IFERROR(INDEX(設定!$B$27:$B$29,MATCH($J275,設定!$A$27:$A$29,0)),0))</f>
        <v/>
      </c>
      <c r="T275" s="25" t="str">
        <f aca="false">IF($C275="","",IFERROR(INDEX(設定!$B$32:$B$35,MATCH($K275,設定!$A$32:$A$35,0)),0))</f>
        <v/>
      </c>
      <c r="U275" s="25" t="str">
        <f aca="false">IF($C275="","",IF(N($L275)&lt;1,0,MIN(100,LOG10($L275+1)/LOG10(設定!$B$44+1)*100)))</f>
        <v/>
      </c>
      <c r="V275" s="25" t="str">
        <f aca="false">IF($C275="","",IF(設定!$B$11=0,0,(O275*設定!$B$4+P275*設定!$B$5+Q275*設定!$B$6+R275*設定!$B$7+S275*設定!$B$8+T275*設定!$B$9+U275*設定!$B$10)/設定!$B$11))</f>
        <v/>
      </c>
      <c r="W275" s="25" t="str">
        <f aca="false">IF($C275="","",IFERROR(INDEX(設定!$B$38:$B$40,MATCH($M275,設定!$A$38:$A$40,0)),1))</f>
        <v/>
      </c>
      <c r="X275" s="26" t="str">
        <f aca="false">IF($C275="","",ROUND(V275*W275,1))</f>
        <v/>
      </c>
      <c r="Y275" s="27" t="str">
        <f aca="false">IF($C275="","",INDEX(設定!$B$49:$B$53,MATCH(X275,設定!$A$49:$A$53,1)))</f>
        <v/>
      </c>
    </row>
    <row r="276" customFormat="false" ht="15" hidden="false" customHeight="false" outlineLevel="0" collapsed="false">
      <c r="A276" s="23" t="n">
        <v>272</v>
      </c>
      <c r="B276" s="24"/>
      <c r="C276" s="9"/>
      <c r="D276" s="9"/>
      <c r="E276" s="15"/>
      <c r="F276" s="9"/>
      <c r="G276" s="17"/>
      <c r="H276" s="9"/>
      <c r="I276" s="9"/>
      <c r="J276" s="9"/>
      <c r="K276" s="9"/>
      <c r="L276" s="17"/>
      <c r="M276" s="9"/>
      <c r="N276" s="9"/>
      <c r="O276" s="25" t="str">
        <f aca="false">IF($C276="","",IFERROR(INDEX(設定!$B$14:$B$18,MATCH($E276,設定!$A$14:$A$18,0)),0))</f>
        <v/>
      </c>
      <c r="P276" s="25" t="str">
        <f aca="false">IF($C276="","",IF(N($G276)&lt;=1,0,MIN(100,LOG10($G276)/LOG10(設定!$B$43)*100)))</f>
        <v/>
      </c>
      <c r="Q276" s="25" t="str">
        <f aca="false">IF($C276="","",IFERROR(INDEX(設定!$B$21:$B$24,MATCH($H276,設定!$A$21:$A$24,0)),0))</f>
        <v/>
      </c>
      <c r="R276" s="25" t="str">
        <f aca="false">IF($C276="","",IF(設定!$B$45&lt;=0,0,MIN(100,N($I276)/設定!$B$45*100)))</f>
        <v/>
      </c>
      <c r="S276" s="25" t="str">
        <f aca="false">IF($C276="","",IFERROR(INDEX(設定!$B$27:$B$29,MATCH($J276,設定!$A$27:$A$29,0)),0))</f>
        <v/>
      </c>
      <c r="T276" s="25" t="str">
        <f aca="false">IF($C276="","",IFERROR(INDEX(設定!$B$32:$B$35,MATCH($K276,設定!$A$32:$A$35,0)),0))</f>
        <v/>
      </c>
      <c r="U276" s="25" t="str">
        <f aca="false">IF($C276="","",IF(N($L276)&lt;1,0,MIN(100,LOG10($L276+1)/LOG10(設定!$B$44+1)*100)))</f>
        <v/>
      </c>
      <c r="V276" s="25" t="str">
        <f aca="false">IF($C276="","",IF(設定!$B$11=0,0,(O276*設定!$B$4+P276*設定!$B$5+Q276*設定!$B$6+R276*設定!$B$7+S276*設定!$B$8+T276*設定!$B$9+U276*設定!$B$10)/設定!$B$11))</f>
        <v/>
      </c>
      <c r="W276" s="25" t="str">
        <f aca="false">IF($C276="","",IFERROR(INDEX(設定!$B$38:$B$40,MATCH($M276,設定!$A$38:$A$40,0)),1))</f>
        <v/>
      </c>
      <c r="X276" s="26" t="str">
        <f aca="false">IF($C276="","",ROUND(V276*W276,1))</f>
        <v/>
      </c>
      <c r="Y276" s="27" t="str">
        <f aca="false">IF($C276="","",INDEX(設定!$B$49:$B$53,MATCH(X276,設定!$A$49:$A$53,1)))</f>
        <v/>
      </c>
    </row>
    <row r="277" customFormat="false" ht="15" hidden="false" customHeight="false" outlineLevel="0" collapsed="false">
      <c r="A277" s="23" t="n">
        <v>273</v>
      </c>
      <c r="B277" s="24"/>
      <c r="C277" s="9"/>
      <c r="D277" s="9"/>
      <c r="E277" s="15"/>
      <c r="F277" s="9"/>
      <c r="G277" s="17"/>
      <c r="H277" s="9"/>
      <c r="I277" s="9"/>
      <c r="J277" s="9"/>
      <c r="K277" s="9"/>
      <c r="L277" s="17"/>
      <c r="M277" s="9"/>
      <c r="N277" s="9"/>
      <c r="O277" s="25" t="str">
        <f aca="false">IF($C277="","",IFERROR(INDEX(設定!$B$14:$B$18,MATCH($E277,設定!$A$14:$A$18,0)),0))</f>
        <v/>
      </c>
      <c r="P277" s="25" t="str">
        <f aca="false">IF($C277="","",IF(N($G277)&lt;=1,0,MIN(100,LOG10($G277)/LOG10(設定!$B$43)*100)))</f>
        <v/>
      </c>
      <c r="Q277" s="25" t="str">
        <f aca="false">IF($C277="","",IFERROR(INDEX(設定!$B$21:$B$24,MATCH($H277,設定!$A$21:$A$24,0)),0))</f>
        <v/>
      </c>
      <c r="R277" s="25" t="str">
        <f aca="false">IF($C277="","",IF(設定!$B$45&lt;=0,0,MIN(100,N($I277)/設定!$B$45*100)))</f>
        <v/>
      </c>
      <c r="S277" s="25" t="str">
        <f aca="false">IF($C277="","",IFERROR(INDEX(設定!$B$27:$B$29,MATCH($J277,設定!$A$27:$A$29,0)),0))</f>
        <v/>
      </c>
      <c r="T277" s="25" t="str">
        <f aca="false">IF($C277="","",IFERROR(INDEX(設定!$B$32:$B$35,MATCH($K277,設定!$A$32:$A$35,0)),0))</f>
        <v/>
      </c>
      <c r="U277" s="25" t="str">
        <f aca="false">IF($C277="","",IF(N($L277)&lt;1,0,MIN(100,LOG10($L277+1)/LOG10(設定!$B$44+1)*100)))</f>
        <v/>
      </c>
      <c r="V277" s="25" t="str">
        <f aca="false">IF($C277="","",IF(設定!$B$11=0,0,(O277*設定!$B$4+P277*設定!$B$5+Q277*設定!$B$6+R277*設定!$B$7+S277*設定!$B$8+T277*設定!$B$9+U277*設定!$B$10)/設定!$B$11))</f>
        <v/>
      </c>
      <c r="W277" s="25" t="str">
        <f aca="false">IF($C277="","",IFERROR(INDEX(設定!$B$38:$B$40,MATCH($M277,設定!$A$38:$A$40,0)),1))</f>
        <v/>
      </c>
      <c r="X277" s="26" t="str">
        <f aca="false">IF($C277="","",ROUND(V277*W277,1))</f>
        <v/>
      </c>
      <c r="Y277" s="27" t="str">
        <f aca="false">IF($C277="","",INDEX(設定!$B$49:$B$53,MATCH(X277,設定!$A$49:$A$53,1)))</f>
        <v/>
      </c>
    </row>
    <row r="278" customFormat="false" ht="15" hidden="false" customHeight="false" outlineLevel="0" collapsed="false">
      <c r="A278" s="23" t="n">
        <v>274</v>
      </c>
      <c r="B278" s="24"/>
      <c r="C278" s="9"/>
      <c r="D278" s="9"/>
      <c r="E278" s="15"/>
      <c r="F278" s="9"/>
      <c r="G278" s="17"/>
      <c r="H278" s="9"/>
      <c r="I278" s="9"/>
      <c r="J278" s="9"/>
      <c r="K278" s="9"/>
      <c r="L278" s="17"/>
      <c r="M278" s="9"/>
      <c r="N278" s="9"/>
      <c r="O278" s="25" t="str">
        <f aca="false">IF($C278="","",IFERROR(INDEX(設定!$B$14:$B$18,MATCH($E278,設定!$A$14:$A$18,0)),0))</f>
        <v/>
      </c>
      <c r="P278" s="25" t="str">
        <f aca="false">IF($C278="","",IF(N($G278)&lt;=1,0,MIN(100,LOG10($G278)/LOG10(設定!$B$43)*100)))</f>
        <v/>
      </c>
      <c r="Q278" s="25" t="str">
        <f aca="false">IF($C278="","",IFERROR(INDEX(設定!$B$21:$B$24,MATCH($H278,設定!$A$21:$A$24,0)),0))</f>
        <v/>
      </c>
      <c r="R278" s="25" t="str">
        <f aca="false">IF($C278="","",IF(設定!$B$45&lt;=0,0,MIN(100,N($I278)/設定!$B$45*100)))</f>
        <v/>
      </c>
      <c r="S278" s="25" t="str">
        <f aca="false">IF($C278="","",IFERROR(INDEX(設定!$B$27:$B$29,MATCH($J278,設定!$A$27:$A$29,0)),0))</f>
        <v/>
      </c>
      <c r="T278" s="25" t="str">
        <f aca="false">IF($C278="","",IFERROR(INDEX(設定!$B$32:$B$35,MATCH($K278,設定!$A$32:$A$35,0)),0))</f>
        <v/>
      </c>
      <c r="U278" s="25" t="str">
        <f aca="false">IF($C278="","",IF(N($L278)&lt;1,0,MIN(100,LOG10($L278+1)/LOG10(設定!$B$44+1)*100)))</f>
        <v/>
      </c>
      <c r="V278" s="25" t="str">
        <f aca="false">IF($C278="","",IF(設定!$B$11=0,0,(O278*設定!$B$4+P278*設定!$B$5+Q278*設定!$B$6+R278*設定!$B$7+S278*設定!$B$8+T278*設定!$B$9+U278*設定!$B$10)/設定!$B$11))</f>
        <v/>
      </c>
      <c r="W278" s="25" t="str">
        <f aca="false">IF($C278="","",IFERROR(INDEX(設定!$B$38:$B$40,MATCH($M278,設定!$A$38:$A$40,0)),1))</f>
        <v/>
      </c>
      <c r="X278" s="26" t="str">
        <f aca="false">IF($C278="","",ROUND(V278*W278,1))</f>
        <v/>
      </c>
      <c r="Y278" s="27" t="str">
        <f aca="false">IF($C278="","",INDEX(設定!$B$49:$B$53,MATCH(X278,設定!$A$49:$A$53,1)))</f>
        <v/>
      </c>
    </row>
    <row r="279" customFormat="false" ht="15" hidden="false" customHeight="false" outlineLevel="0" collapsed="false">
      <c r="A279" s="23" t="n">
        <v>275</v>
      </c>
      <c r="B279" s="24"/>
      <c r="C279" s="9"/>
      <c r="D279" s="9"/>
      <c r="E279" s="15"/>
      <c r="F279" s="9"/>
      <c r="G279" s="17"/>
      <c r="H279" s="9"/>
      <c r="I279" s="9"/>
      <c r="J279" s="9"/>
      <c r="K279" s="9"/>
      <c r="L279" s="17"/>
      <c r="M279" s="9"/>
      <c r="N279" s="9"/>
      <c r="O279" s="25" t="str">
        <f aca="false">IF($C279="","",IFERROR(INDEX(設定!$B$14:$B$18,MATCH($E279,設定!$A$14:$A$18,0)),0))</f>
        <v/>
      </c>
      <c r="P279" s="25" t="str">
        <f aca="false">IF($C279="","",IF(N($G279)&lt;=1,0,MIN(100,LOG10($G279)/LOG10(設定!$B$43)*100)))</f>
        <v/>
      </c>
      <c r="Q279" s="25" t="str">
        <f aca="false">IF($C279="","",IFERROR(INDEX(設定!$B$21:$B$24,MATCH($H279,設定!$A$21:$A$24,0)),0))</f>
        <v/>
      </c>
      <c r="R279" s="25" t="str">
        <f aca="false">IF($C279="","",IF(設定!$B$45&lt;=0,0,MIN(100,N($I279)/設定!$B$45*100)))</f>
        <v/>
      </c>
      <c r="S279" s="25" t="str">
        <f aca="false">IF($C279="","",IFERROR(INDEX(設定!$B$27:$B$29,MATCH($J279,設定!$A$27:$A$29,0)),0))</f>
        <v/>
      </c>
      <c r="T279" s="25" t="str">
        <f aca="false">IF($C279="","",IFERROR(INDEX(設定!$B$32:$B$35,MATCH($K279,設定!$A$32:$A$35,0)),0))</f>
        <v/>
      </c>
      <c r="U279" s="25" t="str">
        <f aca="false">IF($C279="","",IF(N($L279)&lt;1,0,MIN(100,LOG10($L279+1)/LOG10(設定!$B$44+1)*100)))</f>
        <v/>
      </c>
      <c r="V279" s="25" t="str">
        <f aca="false">IF($C279="","",IF(設定!$B$11=0,0,(O279*設定!$B$4+P279*設定!$B$5+Q279*設定!$B$6+R279*設定!$B$7+S279*設定!$B$8+T279*設定!$B$9+U279*設定!$B$10)/設定!$B$11))</f>
        <v/>
      </c>
      <c r="W279" s="25" t="str">
        <f aca="false">IF($C279="","",IFERROR(INDEX(設定!$B$38:$B$40,MATCH($M279,設定!$A$38:$A$40,0)),1))</f>
        <v/>
      </c>
      <c r="X279" s="26" t="str">
        <f aca="false">IF($C279="","",ROUND(V279*W279,1))</f>
        <v/>
      </c>
      <c r="Y279" s="27" t="str">
        <f aca="false">IF($C279="","",INDEX(設定!$B$49:$B$53,MATCH(X279,設定!$A$49:$A$53,1)))</f>
        <v/>
      </c>
    </row>
    <row r="280" customFormat="false" ht="15" hidden="false" customHeight="false" outlineLevel="0" collapsed="false">
      <c r="A280" s="23" t="n">
        <v>276</v>
      </c>
      <c r="B280" s="24"/>
      <c r="C280" s="9"/>
      <c r="D280" s="9"/>
      <c r="E280" s="15"/>
      <c r="F280" s="9"/>
      <c r="G280" s="17"/>
      <c r="H280" s="9"/>
      <c r="I280" s="9"/>
      <c r="J280" s="9"/>
      <c r="K280" s="9"/>
      <c r="L280" s="17"/>
      <c r="M280" s="9"/>
      <c r="N280" s="9"/>
      <c r="O280" s="25" t="str">
        <f aca="false">IF($C280="","",IFERROR(INDEX(設定!$B$14:$B$18,MATCH($E280,設定!$A$14:$A$18,0)),0))</f>
        <v/>
      </c>
      <c r="P280" s="25" t="str">
        <f aca="false">IF($C280="","",IF(N($G280)&lt;=1,0,MIN(100,LOG10($G280)/LOG10(設定!$B$43)*100)))</f>
        <v/>
      </c>
      <c r="Q280" s="25" t="str">
        <f aca="false">IF($C280="","",IFERROR(INDEX(設定!$B$21:$B$24,MATCH($H280,設定!$A$21:$A$24,0)),0))</f>
        <v/>
      </c>
      <c r="R280" s="25" t="str">
        <f aca="false">IF($C280="","",IF(設定!$B$45&lt;=0,0,MIN(100,N($I280)/設定!$B$45*100)))</f>
        <v/>
      </c>
      <c r="S280" s="25" t="str">
        <f aca="false">IF($C280="","",IFERROR(INDEX(設定!$B$27:$B$29,MATCH($J280,設定!$A$27:$A$29,0)),0))</f>
        <v/>
      </c>
      <c r="T280" s="25" t="str">
        <f aca="false">IF($C280="","",IFERROR(INDEX(設定!$B$32:$B$35,MATCH($K280,設定!$A$32:$A$35,0)),0))</f>
        <v/>
      </c>
      <c r="U280" s="25" t="str">
        <f aca="false">IF($C280="","",IF(N($L280)&lt;1,0,MIN(100,LOG10($L280+1)/LOG10(設定!$B$44+1)*100)))</f>
        <v/>
      </c>
      <c r="V280" s="25" t="str">
        <f aca="false">IF($C280="","",IF(設定!$B$11=0,0,(O280*設定!$B$4+P280*設定!$B$5+Q280*設定!$B$6+R280*設定!$B$7+S280*設定!$B$8+T280*設定!$B$9+U280*設定!$B$10)/設定!$B$11))</f>
        <v/>
      </c>
      <c r="W280" s="25" t="str">
        <f aca="false">IF($C280="","",IFERROR(INDEX(設定!$B$38:$B$40,MATCH($M280,設定!$A$38:$A$40,0)),1))</f>
        <v/>
      </c>
      <c r="X280" s="26" t="str">
        <f aca="false">IF($C280="","",ROUND(V280*W280,1))</f>
        <v/>
      </c>
      <c r="Y280" s="27" t="str">
        <f aca="false">IF($C280="","",INDEX(設定!$B$49:$B$53,MATCH(X280,設定!$A$49:$A$53,1)))</f>
        <v/>
      </c>
    </row>
    <row r="281" customFormat="false" ht="15" hidden="false" customHeight="false" outlineLevel="0" collapsed="false">
      <c r="A281" s="23" t="n">
        <v>277</v>
      </c>
      <c r="B281" s="24"/>
      <c r="C281" s="9"/>
      <c r="D281" s="9"/>
      <c r="E281" s="15"/>
      <c r="F281" s="9"/>
      <c r="G281" s="17"/>
      <c r="H281" s="9"/>
      <c r="I281" s="9"/>
      <c r="J281" s="9"/>
      <c r="K281" s="9"/>
      <c r="L281" s="17"/>
      <c r="M281" s="9"/>
      <c r="N281" s="9"/>
      <c r="O281" s="25" t="str">
        <f aca="false">IF($C281="","",IFERROR(INDEX(設定!$B$14:$B$18,MATCH($E281,設定!$A$14:$A$18,0)),0))</f>
        <v/>
      </c>
      <c r="P281" s="25" t="str">
        <f aca="false">IF($C281="","",IF(N($G281)&lt;=1,0,MIN(100,LOG10($G281)/LOG10(設定!$B$43)*100)))</f>
        <v/>
      </c>
      <c r="Q281" s="25" t="str">
        <f aca="false">IF($C281="","",IFERROR(INDEX(設定!$B$21:$B$24,MATCH($H281,設定!$A$21:$A$24,0)),0))</f>
        <v/>
      </c>
      <c r="R281" s="25" t="str">
        <f aca="false">IF($C281="","",IF(設定!$B$45&lt;=0,0,MIN(100,N($I281)/設定!$B$45*100)))</f>
        <v/>
      </c>
      <c r="S281" s="25" t="str">
        <f aca="false">IF($C281="","",IFERROR(INDEX(設定!$B$27:$B$29,MATCH($J281,設定!$A$27:$A$29,0)),0))</f>
        <v/>
      </c>
      <c r="T281" s="25" t="str">
        <f aca="false">IF($C281="","",IFERROR(INDEX(設定!$B$32:$B$35,MATCH($K281,設定!$A$32:$A$35,0)),0))</f>
        <v/>
      </c>
      <c r="U281" s="25" t="str">
        <f aca="false">IF($C281="","",IF(N($L281)&lt;1,0,MIN(100,LOG10($L281+1)/LOG10(設定!$B$44+1)*100)))</f>
        <v/>
      </c>
      <c r="V281" s="25" t="str">
        <f aca="false">IF($C281="","",IF(設定!$B$11=0,0,(O281*設定!$B$4+P281*設定!$B$5+Q281*設定!$B$6+R281*設定!$B$7+S281*設定!$B$8+T281*設定!$B$9+U281*設定!$B$10)/設定!$B$11))</f>
        <v/>
      </c>
      <c r="W281" s="25" t="str">
        <f aca="false">IF($C281="","",IFERROR(INDEX(設定!$B$38:$B$40,MATCH($M281,設定!$A$38:$A$40,0)),1))</f>
        <v/>
      </c>
      <c r="X281" s="26" t="str">
        <f aca="false">IF($C281="","",ROUND(V281*W281,1))</f>
        <v/>
      </c>
      <c r="Y281" s="27" t="str">
        <f aca="false">IF($C281="","",INDEX(設定!$B$49:$B$53,MATCH(X281,設定!$A$49:$A$53,1)))</f>
        <v/>
      </c>
    </row>
    <row r="282" customFormat="false" ht="15" hidden="false" customHeight="false" outlineLevel="0" collapsed="false">
      <c r="A282" s="23" t="n">
        <v>278</v>
      </c>
      <c r="B282" s="24"/>
      <c r="C282" s="9"/>
      <c r="D282" s="9"/>
      <c r="E282" s="15"/>
      <c r="F282" s="9"/>
      <c r="G282" s="17"/>
      <c r="H282" s="9"/>
      <c r="I282" s="9"/>
      <c r="J282" s="9"/>
      <c r="K282" s="9"/>
      <c r="L282" s="17"/>
      <c r="M282" s="9"/>
      <c r="N282" s="9"/>
      <c r="O282" s="25" t="str">
        <f aca="false">IF($C282="","",IFERROR(INDEX(設定!$B$14:$B$18,MATCH($E282,設定!$A$14:$A$18,0)),0))</f>
        <v/>
      </c>
      <c r="P282" s="25" t="str">
        <f aca="false">IF($C282="","",IF(N($G282)&lt;=1,0,MIN(100,LOG10($G282)/LOG10(設定!$B$43)*100)))</f>
        <v/>
      </c>
      <c r="Q282" s="25" t="str">
        <f aca="false">IF($C282="","",IFERROR(INDEX(設定!$B$21:$B$24,MATCH($H282,設定!$A$21:$A$24,0)),0))</f>
        <v/>
      </c>
      <c r="R282" s="25" t="str">
        <f aca="false">IF($C282="","",IF(設定!$B$45&lt;=0,0,MIN(100,N($I282)/設定!$B$45*100)))</f>
        <v/>
      </c>
      <c r="S282" s="25" t="str">
        <f aca="false">IF($C282="","",IFERROR(INDEX(設定!$B$27:$B$29,MATCH($J282,設定!$A$27:$A$29,0)),0))</f>
        <v/>
      </c>
      <c r="T282" s="25" t="str">
        <f aca="false">IF($C282="","",IFERROR(INDEX(設定!$B$32:$B$35,MATCH($K282,設定!$A$32:$A$35,0)),0))</f>
        <v/>
      </c>
      <c r="U282" s="25" t="str">
        <f aca="false">IF($C282="","",IF(N($L282)&lt;1,0,MIN(100,LOG10($L282+1)/LOG10(設定!$B$44+1)*100)))</f>
        <v/>
      </c>
      <c r="V282" s="25" t="str">
        <f aca="false">IF($C282="","",IF(設定!$B$11=0,0,(O282*設定!$B$4+P282*設定!$B$5+Q282*設定!$B$6+R282*設定!$B$7+S282*設定!$B$8+T282*設定!$B$9+U282*設定!$B$10)/設定!$B$11))</f>
        <v/>
      </c>
      <c r="W282" s="25" t="str">
        <f aca="false">IF($C282="","",IFERROR(INDEX(設定!$B$38:$B$40,MATCH($M282,設定!$A$38:$A$40,0)),1))</f>
        <v/>
      </c>
      <c r="X282" s="26" t="str">
        <f aca="false">IF($C282="","",ROUND(V282*W282,1))</f>
        <v/>
      </c>
      <c r="Y282" s="27" t="str">
        <f aca="false">IF($C282="","",INDEX(設定!$B$49:$B$53,MATCH(X282,設定!$A$49:$A$53,1)))</f>
        <v/>
      </c>
    </row>
    <row r="283" customFormat="false" ht="15" hidden="false" customHeight="false" outlineLevel="0" collapsed="false">
      <c r="A283" s="23" t="n">
        <v>279</v>
      </c>
      <c r="B283" s="24"/>
      <c r="C283" s="9"/>
      <c r="D283" s="9"/>
      <c r="E283" s="15"/>
      <c r="F283" s="9"/>
      <c r="G283" s="17"/>
      <c r="H283" s="9"/>
      <c r="I283" s="9"/>
      <c r="J283" s="9"/>
      <c r="K283" s="9"/>
      <c r="L283" s="17"/>
      <c r="M283" s="9"/>
      <c r="N283" s="9"/>
      <c r="O283" s="25" t="str">
        <f aca="false">IF($C283="","",IFERROR(INDEX(設定!$B$14:$B$18,MATCH($E283,設定!$A$14:$A$18,0)),0))</f>
        <v/>
      </c>
      <c r="P283" s="25" t="str">
        <f aca="false">IF($C283="","",IF(N($G283)&lt;=1,0,MIN(100,LOG10($G283)/LOG10(設定!$B$43)*100)))</f>
        <v/>
      </c>
      <c r="Q283" s="25" t="str">
        <f aca="false">IF($C283="","",IFERROR(INDEX(設定!$B$21:$B$24,MATCH($H283,設定!$A$21:$A$24,0)),0))</f>
        <v/>
      </c>
      <c r="R283" s="25" t="str">
        <f aca="false">IF($C283="","",IF(設定!$B$45&lt;=0,0,MIN(100,N($I283)/設定!$B$45*100)))</f>
        <v/>
      </c>
      <c r="S283" s="25" t="str">
        <f aca="false">IF($C283="","",IFERROR(INDEX(設定!$B$27:$B$29,MATCH($J283,設定!$A$27:$A$29,0)),0))</f>
        <v/>
      </c>
      <c r="T283" s="25" t="str">
        <f aca="false">IF($C283="","",IFERROR(INDEX(設定!$B$32:$B$35,MATCH($K283,設定!$A$32:$A$35,0)),0))</f>
        <v/>
      </c>
      <c r="U283" s="25" t="str">
        <f aca="false">IF($C283="","",IF(N($L283)&lt;1,0,MIN(100,LOG10($L283+1)/LOG10(設定!$B$44+1)*100)))</f>
        <v/>
      </c>
      <c r="V283" s="25" t="str">
        <f aca="false">IF($C283="","",IF(設定!$B$11=0,0,(O283*設定!$B$4+P283*設定!$B$5+Q283*設定!$B$6+R283*設定!$B$7+S283*設定!$B$8+T283*設定!$B$9+U283*設定!$B$10)/設定!$B$11))</f>
        <v/>
      </c>
      <c r="W283" s="25" t="str">
        <f aca="false">IF($C283="","",IFERROR(INDEX(設定!$B$38:$B$40,MATCH($M283,設定!$A$38:$A$40,0)),1))</f>
        <v/>
      </c>
      <c r="X283" s="26" t="str">
        <f aca="false">IF($C283="","",ROUND(V283*W283,1))</f>
        <v/>
      </c>
      <c r="Y283" s="27" t="str">
        <f aca="false">IF($C283="","",INDEX(設定!$B$49:$B$53,MATCH(X283,設定!$A$49:$A$53,1)))</f>
        <v/>
      </c>
    </row>
    <row r="284" customFormat="false" ht="15" hidden="false" customHeight="false" outlineLevel="0" collapsed="false">
      <c r="A284" s="23" t="n">
        <v>280</v>
      </c>
      <c r="B284" s="24"/>
      <c r="C284" s="9"/>
      <c r="D284" s="9"/>
      <c r="E284" s="15"/>
      <c r="F284" s="9"/>
      <c r="G284" s="17"/>
      <c r="H284" s="9"/>
      <c r="I284" s="9"/>
      <c r="J284" s="9"/>
      <c r="K284" s="9"/>
      <c r="L284" s="17"/>
      <c r="M284" s="9"/>
      <c r="N284" s="9"/>
      <c r="O284" s="25" t="str">
        <f aca="false">IF($C284="","",IFERROR(INDEX(設定!$B$14:$B$18,MATCH($E284,設定!$A$14:$A$18,0)),0))</f>
        <v/>
      </c>
      <c r="P284" s="25" t="str">
        <f aca="false">IF($C284="","",IF(N($G284)&lt;=1,0,MIN(100,LOG10($G284)/LOG10(設定!$B$43)*100)))</f>
        <v/>
      </c>
      <c r="Q284" s="25" t="str">
        <f aca="false">IF($C284="","",IFERROR(INDEX(設定!$B$21:$B$24,MATCH($H284,設定!$A$21:$A$24,0)),0))</f>
        <v/>
      </c>
      <c r="R284" s="25" t="str">
        <f aca="false">IF($C284="","",IF(設定!$B$45&lt;=0,0,MIN(100,N($I284)/設定!$B$45*100)))</f>
        <v/>
      </c>
      <c r="S284" s="25" t="str">
        <f aca="false">IF($C284="","",IFERROR(INDEX(設定!$B$27:$B$29,MATCH($J284,設定!$A$27:$A$29,0)),0))</f>
        <v/>
      </c>
      <c r="T284" s="25" t="str">
        <f aca="false">IF($C284="","",IFERROR(INDEX(設定!$B$32:$B$35,MATCH($K284,設定!$A$32:$A$35,0)),0))</f>
        <v/>
      </c>
      <c r="U284" s="25" t="str">
        <f aca="false">IF($C284="","",IF(N($L284)&lt;1,0,MIN(100,LOG10($L284+1)/LOG10(設定!$B$44+1)*100)))</f>
        <v/>
      </c>
      <c r="V284" s="25" t="str">
        <f aca="false">IF($C284="","",IF(設定!$B$11=0,0,(O284*設定!$B$4+P284*設定!$B$5+Q284*設定!$B$6+R284*設定!$B$7+S284*設定!$B$8+T284*設定!$B$9+U284*設定!$B$10)/設定!$B$11))</f>
        <v/>
      </c>
      <c r="W284" s="25" t="str">
        <f aca="false">IF($C284="","",IFERROR(INDEX(設定!$B$38:$B$40,MATCH($M284,設定!$A$38:$A$40,0)),1))</f>
        <v/>
      </c>
      <c r="X284" s="26" t="str">
        <f aca="false">IF($C284="","",ROUND(V284*W284,1))</f>
        <v/>
      </c>
      <c r="Y284" s="27" t="str">
        <f aca="false">IF($C284="","",INDEX(設定!$B$49:$B$53,MATCH(X284,設定!$A$49:$A$53,1)))</f>
        <v/>
      </c>
    </row>
    <row r="285" customFormat="false" ht="15" hidden="false" customHeight="false" outlineLevel="0" collapsed="false">
      <c r="A285" s="23" t="n">
        <v>281</v>
      </c>
      <c r="B285" s="24"/>
      <c r="C285" s="9"/>
      <c r="D285" s="9"/>
      <c r="E285" s="15"/>
      <c r="F285" s="9"/>
      <c r="G285" s="17"/>
      <c r="H285" s="9"/>
      <c r="I285" s="9"/>
      <c r="J285" s="9"/>
      <c r="K285" s="9"/>
      <c r="L285" s="17"/>
      <c r="M285" s="9"/>
      <c r="N285" s="9"/>
      <c r="O285" s="25" t="str">
        <f aca="false">IF($C285="","",IFERROR(INDEX(設定!$B$14:$B$18,MATCH($E285,設定!$A$14:$A$18,0)),0))</f>
        <v/>
      </c>
      <c r="P285" s="25" t="str">
        <f aca="false">IF($C285="","",IF(N($G285)&lt;=1,0,MIN(100,LOG10($G285)/LOG10(設定!$B$43)*100)))</f>
        <v/>
      </c>
      <c r="Q285" s="25" t="str">
        <f aca="false">IF($C285="","",IFERROR(INDEX(設定!$B$21:$B$24,MATCH($H285,設定!$A$21:$A$24,0)),0))</f>
        <v/>
      </c>
      <c r="R285" s="25" t="str">
        <f aca="false">IF($C285="","",IF(設定!$B$45&lt;=0,0,MIN(100,N($I285)/設定!$B$45*100)))</f>
        <v/>
      </c>
      <c r="S285" s="25" t="str">
        <f aca="false">IF($C285="","",IFERROR(INDEX(設定!$B$27:$B$29,MATCH($J285,設定!$A$27:$A$29,0)),0))</f>
        <v/>
      </c>
      <c r="T285" s="25" t="str">
        <f aca="false">IF($C285="","",IFERROR(INDEX(設定!$B$32:$B$35,MATCH($K285,設定!$A$32:$A$35,0)),0))</f>
        <v/>
      </c>
      <c r="U285" s="25" t="str">
        <f aca="false">IF($C285="","",IF(N($L285)&lt;1,0,MIN(100,LOG10($L285+1)/LOG10(設定!$B$44+1)*100)))</f>
        <v/>
      </c>
      <c r="V285" s="25" t="str">
        <f aca="false">IF($C285="","",IF(設定!$B$11=0,0,(O285*設定!$B$4+P285*設定!$B$5+Q285*設定!$B$6+R285*設定!$B$7+S285*設定!$B$8+T285*設定!$B$9+U285*設定!$B$10)/設定!$B$11))</f>
        <v/>
      </c>
      <c r="W285" s="25" t="str">
        <f aca="false">IF($C285="","",IFERROR(INDEX(設定!$B$38:$B$40,MATCH($M285,設定!$A$38:$A$40,0)),1))</f>
        <v/>
      </c>
      <c r="X285" s="26" t="str">
        <f aca="false">IF($C285="","",ROUND(V285*W285,1))</f>
        <v/>
      </c>
      <c r="Y285" s="27" t="str">
        <f aca="false">IF($C285="","",INDEX(設定!$B$49:$B$53,MATCH(X285,設定!$A$49:$A$53,1)))</f>
        <v/>
      </c>
    </row>
    <row r="286" customFormat="false" ht="15" hidden="false" customHeight="false" outlineLevel="0" collapsed="false">
      <c r="A286" s="23" t="n">
        <v>282</v>
      </c>
      <c r="B286" s="24"/>
      <c r="C286" s="9"/>
      <c r="D286" s="9"/>
      <c r="E286" s="15"/>
      <c r="F286" s="9"/>
      <c r="G286" s="17"/>
      <c r="H286" s="9"/>
      <c r="I286" s="9"/>
      <c r="J286" s="9"/>
      <c r="K286" s="9"/>
      <c r="L286" s="17"/>
      <c r="M286" s="9"/>
      <c r="N286" s="9"/>
      <c r="O286" s="25" t="str">
        <f aca="false">IF($C286="","",IFERROR(INDEX(設定!$B$14:$B$18,MATCH($E286,設定!$A$14:$A$18,0)),0))</f>
        <v/>
      </c>
      <c r="P286" s="25" t="str">
        <f aca="false">IF($C286="","",IF(N($G286)&lt;=1,0,MIN(100,LOG10($G286)/LOG10(設定!$B$43)*100)))</f>
        <v/>
      </c>
      <c r="Q286" s="25" t="str">
        <f aca="false">IF($C286="","",IFERROR(INDEX(設定!$B$21:$B$24,MATCH($H286,設定!$A$21:$A$24,0)),0))</f>
        <v/>
      </c>
      <c r="R286" s="25" t="str">
        <f aca="false">IF($C286="","",IF(設定!$B$45&lt;=0,0,MIN(100,N($I286)/設定!$B$45*100)))</f>
        <v/>
      </c>
      <c r="S286" s="25" t="str">
        <f aca="false">IF($C286="","",IFERROR(INDEX(設定!$B$27:$B$29,MATCH($J286,設定!$A$27:$A$29,0)),0))</f>
        <v/>
      </c>
      <c r="T286" s="25" t="str">
        <f aca="false">IF($C286="","",IFERROR(INDEX(設定!$B$32:$B$35,MATCH($K286,設定!$A$32:$A$35,0)),0))</f>
        <v/>
      </c>
      <c r="U286" s="25" t="str">
        <f aca="false">IF($C286="","",IF(N($L286)&lt;1,0,MIN(100,LOG10($L286+1)/LOG10(設定!$B$44+1)*100)))</f>
        <v/>
      </c>
      <c r="V286" s="25" t="str">
        <f aca="false">IF($C286="","",IF(設定!$B$11=0,0,(O286*設定!$B$4+P286*設定!$B$5+Q286*設定!$B$6+R286*設定!$B$7+S286*設定!$B$8+T286*設定!$B$9+U286*設定!$B$10)/設定!$B$11))</f>
        <v/>
      </c>
      <c r="W286" s="25" t="str">
        <f aca="false">IF($C286="","",IFERROR(INDEX(設定!$B$38:$B$40,MATCH($M286,設定!$A$38:$A$40,0)),1))</f>
        <v/>
      </c>
      <c r="X286" s="26" t="str">
        <f aca="false">IF($C286="","",ROUND(V286*W286,1))</f>
        <v/>
      </c>
      <c r="Y286" s="27" t="str">
        <f aca="false">IF($C286="","",INDEX(設定!$B$49:$B$53,MATCH(X286,設定!$A$49:$A$53,1)))</f>
        <v/>
      </c>
    </row>
    <row r="287" customFormat="false" ht="15" hidden="false" customHeight="false" outlineLevel="0" collapsed="false">
      <c r="A287" s="23" t="n">
        <v>283</v>
      </c>
      <c r="B287" s="24"/>
      <c r="C287" s="9"/>
      <c r="D287" s="9"/>
      <c r="E287" s="15"/>
      <c r="F287" s="9"/>
      <c r="G287" s="17"/>
      <c r="H287" s="9"/>
      <c r="I287" s="9"/>
      <c r="J287" s="9"/>
      <c r="K287" s="9"/>
      <c r="L287" s="17"/>
      <c r="M287" s="9"/>
      <c r="N287" s="9"/>
      <c r="O287" s="25" t="str">
        <f aca="false">IF($C287="","",IFERROR(INDEX(設定!$B$14:$B$18,MATCH($E287,設定!$A$14:$A$18,0)),0))</f>
        <v/>
      </c>
      <c r="P287" s="25" t="str">
        <f aca="false">IF($C287="","",IF(N($G287)&lt;=1,0,MIN(100,LOG10($G287)/LOG10(設定!$B$43)*100)))</f>
        <v/>
      </c>
      <c r="Q287" s="25" t="str">
        <f aca="false">IF($C287="","",IFERROR(INDEX(設定!$B$21:$B$24,MATCH($H287,設定!$A$21:$A$24,0)),0))</f>
        <v/>
      </c>
      <c r="R287" s="25" t="str">
        <f aca="false">IF($C287="","",IF(設定!$B$45&lt;=0,0,MIN(100,N($I287)/設定!$B$45*100)))</f>
        <v/>
      </c>
      <c r="S287" s="25" t="str">
        <f aca="false">IF($C287="","",IFERROR(INDEX(設定!$B$27:$B$29,MATCH($J287,設定!$A$27:$A$29,0)),0))</f>
        <v/>
      </c>
      <c r="T287" s="25" t="str">
        <f aca="false">IF($C287="","",IFERROR(INDEX(設定!$B$32:$B$35,MATCH($K287,設定!$A$32:$A$35,0)),0))</f>
        <v/>
      </c>
      <c r="U287" s="25" t="str">
        <f aca="false">IF($C287="","",IF(N($L287)&lt;1,0,MIN(100,LOG10($L287+1)/LOG10(設定!$B$44+1)*100)))</f>
        <v/>
      </c>
      <c r="V287" s="25" t="str">
        <f aca="false">IF($C287="","",IF(設定!$B$11=0,0,(O287*設定!$B$4+P287*設定!$B$5+Q287*設定!$B$6+R287*設定!$B$7+S287*設定!$B$8+T287*設定!$B$9+U287*設定!$B$10)/設定!$B$11))</f>
        <v/>
      </c>
      <c r="W287" s="25" t="str">
        <f aca="false">IF($C287="","",IFERROR(INDEX(設定!$B$38:$B$40,MATCH($M287,設定!$A$38:$A$40,0)),1))</f>
        <v/>
      </c>
      <c r="X287" s="26" t="str">
        <f aca="false">IF($C287="","",ROUND(V287*W287,1))</f>
        <v/>
      </c>
      <c r="Y287" s="27" t="str">
        <f aca="false">IF($C287="","",INDEX(設定!$B$49:$B$53,MATCH(X287,設定!$A$49:$A$53,1)))</f>
        <v/>
      </c>
    </row>
    <row r="288" customFormat="false" ht="15" hidden="false" customHeight="false" outlineLevel="0" collapsed="false">
      <c r="A288" s="23" t="n">
        <v>284</v>
      </c>
      <c r="B288" s="24"/>
      <c r="C288" s="9"/>
      <c r="D288" s="9"/>
      <c r="E288" s="15"/>
      <c r="F288" s="9"/>
      <c r="G288" s="17"/>
      <c r="H288" s="9"/>
      <c r="I288" s="9"/>
      <c r="J288" s="9"/>
      <c r="K288" s="9"/>
      <c r="L288" s="17"/>
      <c r="M288" s="9"/>
      <c r="N288" s="9"/>
      <c r="O288" s="25" t="str">
        <f aca="false">IF($C288="","",IFERROR(INDEX(設定!$B$14:$B$18,MATCH($E288,設定!$A$14:$A$18,0)),0))</f>
        <v/>
      </c>
      <c r="P288" s="25" t="str">
        <f aca="false">IF($C288="","",IF(N($G288)&lt;=1,0,MIN(100,LOG10($G288)/LOG10(設定!$B$43)*100)))</f>
        <v/>
      </c>
      <c r="Q288" s="25" t="str">
        <f aca="false">IF($C288="","",IFERROR(INDEX(設定!$B$21:$B$24,MATCH($H288,設定!$A$21:$A$24,0)),0))</f>
        <v/>
      </c>
      <c r="R288" s="25" t="str">
        <f aca="false">IF($C288="","",IF(設定!$B$45&lt;=0,0,MIN(100,N($I288)/設定!$B$45*100)))</f>
        <v/>
      </c>
      <c r="S288" s="25" t="str">
        <f aca="false">IF($C288="","",IFERROR(INDEX(設定!$B$27:$B$29,MATCH($J288,設定!$A$27:$A$29,0)),0))</f>
        <v/>
      </c>
      <c r="T288" s="25" t="str">
        <f aca="false">IF($C288="","",IFERROR(INDEX(設定!$B$32:$B$35,MATCH($K288,設定!$A$32:$A$35,0)),0))</f>
        <v/>
      </c>
      <c r="U288" s="25" t="str">
        <f aca="false">IF($C288="","",IF(N($L288)&lt;1,0,MIN(100,LOG10($L288+1)/LOG10(設定!$B$44+1)*100)))</f>
        <v/>
      </c>
      <c r="V288" s="25" t="str">
        <f aca="false">IF($C288="","",IF(設定!$B$11=0,0,(O288*設定!$B$4+P288*設定!$B$5+Q288*設定!$B$6+R288*設定!$B$7+S288*設定!$B$8+T288*設定!$B$9+U288*設定!$B$10)/設定!$B$11))</f>
        <v/>
      </c>
      <c r="W288" s="25" t="str">
        <f aca="false">IF($C288="","",IFERROR(INDEX(設定!$B$38:$B$40,MATCH($M288,設定!$A$38:$A$40,0)),1))</f>
        <v/>
      </c>
      <c r="X288" s="26" t="str">
        <f aca="false">IF($C288="","",ROUND(V288*W288,1))</f>
        <v/>
      </c>
      <c r="Y288" s="27" t="str">
        <f aca="false">IF($C288="","",INDEX(設定!$B$49:$B$53,MATCH(X288,設定!$A$49:$A$53,1)))</f>
        <v/>
      </c>
    </row>
    <row r="289" customFormat="false" ht="15" hidden="false" customHeight="false" outlineLevel="0" collapsed="false">
      <c r="A289" s="23" t="n">
        <v>285</v>
      </c>
      <c r="B289" s="24"/>
      <c r="C289" s="9"/>
      <c r="D289" s="9"/>
      <c r="E289" s="15"/>
      <c r="F289" s="9"/>
      <c r="G289" s="17"/>
      <c r="H289" s="9"/>
      <c r="I289" s="9"/>
      <c r="J289" s="9"/>
      <c r="K289" s="9"/>
      <c r="L289" s="17"/>
      <c r="M289" s="9"/>
      <c r="N289" s="9"/>
      <c r="O289" s="25" t="str">
        <f aca="false">IF($C289="","",IFERROR(INDEX(設定!$B$14:$B$18,MATCH($E289,設定!$A$14:$A$18,0)),0))</f>
        <v/>
      </c>
      <c r="P289" s="25" t="str">
        <f aca="false">IF($C289="","",IF(N($G289)&lt;=1,0,MIN(100,LOG10($G289)/LOG10(設定!$B$43)*100)))</f>
        <v/>
      </c>
      <c r="Q289" s="25" t="str">
        <f aca="false">IF($C289="","",IFERROR(INDEX(設定!$B$21:$B$24,MATCH($H289,設定!$A$21:$A$24,0)),0))</f>
        <v/>
      </c>
      <c r="R289" s="25" t="str">
        <f aca="false">IF($C289="","",IF(設定!$B$45&lt;=0,0,MIN(100,N($I289)/設定!$B$45*100)))</f>
        <v/>
      </c>
      <c r="S289" s="25" t="str">
        <f aca="false">IF($C289="","",IFERROR(INDEX(設定!$B$27:$B$29,MATCH($J289,設定!$A$27:$A$29,0)),0))</f>
        <v/>
      </c>
      <c r="T289" s="25" t="str">
        <f aca="false">IF($C289="","",IFERROR(INDEX(設定!$B$32:$B$35,MATCH($K289,設定!$A$32:$A$35,0)),0))</f>
        <v/>
      </c>
      <c r="U289" s="25" t="str">
        <f aca="false">IF($C289="","",IF(N($L289)&lt;1,0,MIN(100,LOG10($L289+1)/LOG10(設定!$B$44+1)*100)))</f>
        <v/>
      </c>
      <c r="V289" s="25" t="str">
        <f aca="false">IF($C289="","",IF(設定!$B$11=0,0,(O289*設定!$B$4+P289*設定!$B$5+Q289*設定!$B$6+R289*設定!$B$7+S289*設定!$B$8+T289*設定!$B$9+U289*設定!$B$10)/設定!$B$11))</f>
        <v/>
      </c>
      <c r="W289" s="25" t="str">
        <f aca="false">IF($C289="","",IFERROR(INDEX(設定!$B$38:$B$40,MATCH($M289,設定!$A$38:$A$40,0)),1))</f>
        <v/>
      </c>
      <c r="X289" s="26" t="str">
        <f aca="false">IF($C289="","",ROUND(V289*W289,1))</f>
        <v/>
      </c>
      <c r="Y289" s="27" t="str">
        <f aca="false">IF($C289="","",INDEX(設定!$B$49:$B$53,MATCH(X289,設定!$A$49:$A$53,1)))</f>
        <v/>
      </c>
    </row>
    <row r="290" customFormat="false" ht="15" hidden="false" customHeight="false" outlineLevel="0" collapsed="false">
      <c r="A290" s="23" t="n">
        <v>286</v>
      </c>
      <c r="B290" s="24"/>
      <c r="C290" s="9"/>
      <c r="D290" s="9"/>
      <c r="E290" s="15"/>
      <c r="F290" s="9"/>
      <c r="G290" s="17"/>
      <c r="H290" s="9"/>
      <c r="I290" s="9"/>
      <c r="J290" s="9"/>
      <c r="K290" s="9"/>
      <c r="L290" s="17"/>
      <c r="M290" s="9"/>
      <c r="N290" s="9"/>
      <c r="O290" s="25" t="str">
        <f aca="false">IF($C290="","",IFERROR(INDEX(設定!$B$14:$B$18,MATCH($E290,設定!$A$14:$A$18,0)),0))</f>
        <v/>
      </c>
      <c r="P290" s="25" t="str">
        <f aca="false">IF($C290="","",IF(N($G290)&lt;=1,0,MIN(100,LOG10($G290)/LOG10(設定!$B$43)*100)))</f>
        <v/>
      </c>
      <c r="Q290" s="25" t="str">
        <f aca="false">IF($C290="","",IFERROR(INDEX(設定!$B$21:$B$24,MATCH($H290,設定!$A$21:$A$24,0)),0))</f>
        <v/>
      </c>
      <c r="R290" s="25" t="str">
        <f aca="false">IF($C290="","",IF(設定!$B$45&lt;=0,0,MIN(100,N($I290)/設定!$B$45*100)))</f>
        <v/>
      </c>
      <c r="S290" s="25" t="str">
        <f aca="false">IF($C290="","",IFERROR(INDEX(設定!$B$27:$B$29,MATCH($J290,設定!$A$27:$A$29,0)),0))</f>
        <v/>
      </c>
      <c r="T290" s="25" t="str">
        <f aca="false">IF($C290="","",IFERROR(INDEX(設定!$B$32:$B$35,MATCH($K290,設定!$A$32:$A$35,0)),0))</f>
        <v/>
      </c>
      <c r="U290" s="25" t="str">
        <f aca="false">IF($C290="","",IF(N($L290)&lt;1,0,MIN(100,LOG10($L290+1)/LOG10(設定!$B$44+1)*100)))</f>
        <v/>
      </c>
      <c r="V290" s="25" t="str">
        <f aca="false">IF($C290="","",IF(設定!$B$11=0,0,(O290*設定!$B$4+P290*設定!$B$5+Q290*設定!$B$6+R290*設定!$B$7+S290*設定!$B$8+T290*設定!$B$9+U290*設定!$B$10)/設定!$B$11))</f>
        <v/>
      </c>
      <c r="W290" s="25" t="str">
        <f aca="false">IF($C290="","",IFERROR(INDEX(設定!$B$38:$B$40,MATCH($M290,設定!$A$38:$A$40,0)),1))</f>
        <v/>
      </c>
      <c r="X290" s="26" t="str">
        <f aca="false">IF($C290="","",ROUND(V290*W290,1))</f>
        <v/>
      </c>
      <c r="Y290" s="27" t="str">
        <f aca="false">IF($C290="","",INDEX(設定!$B$49:$B$53,MATCH(X290,設定!$A$49:$A$53,1)))</f>
        <v/>
      </c>
    </row>
    <row r="291" customFormat="false" ht="15" hidden="false" customHeight="false" outlineLevel="0" collapsed="false">
      <c r="A291" s="23" t="n">
        <v>287</v>
      </c>
      <c r="B291" s="24"/>
      <c r="C291" s="9"/>
      <c r="D291" s="9"/>
      <c r="E291" s="15"/>
      <c r="F291" s="9"/>
      <c r="G291" s="17"/>
      <c r="H291" s="9"/>
      <c r="I291" s="9"/>
      <c r="J291" s="9"/>
      <c r="K291" s="9"/>
      <c r="L291" s="17"/>
      <c r="M291" s="9"/>
      <c r="N291" s="9"/>
      <c r="O291" s="25" t="str">
        <f aca="false">IF($C291="","",IFERROR(INDEX(設定!$B$14:$B$18,MATCH($E291,設定!$A$14:$A$18,0)),0))</f>
        <v/>
      </c>
      <c r="P291" s="25" t="str">
        <f aca="false">IF($C291="","",IF(N($G291)&lt;=1,0,MIN(100,LOG10($G291)/LOG10(設定!$B$43)*100)))</f>
        <v/>
      </c>
      <c r="Q291" s="25" t="str">
        <f aca="false">IF($C291="","",IFERROR(INDEX(設定!$B$21:$B$24,MATCH($H291,設定!$A$21:$A$24,0)),0))</f>
        <v/>
      </c>
      <c r="R291" s="25" t="str">
        <f aca="false">IF($C291="","",IF(設定!$B$45&lt;=0,0,MIN(100,N($I291)/設定!$B$45*100)))</f>
        <v/>
      </c>
      <c r="S291" s="25" t="str">
        <f aca="false">IF($C291="","",IFERROR(INDEX(設定!$B$27:$B$29,MATCH($J291,設定!$A$27:$A$29,0)),0))</f>
        <v/>
      </c>
      <c r="T291" s="25" t="str">
        <f aca="false">IF($C291="","",IFERROR(INDEX(設定!$B$32:$B$35,MATCH($K291,設定!$A$32:$A$35,0)),0))</f>
        <v/>
      </c>
      <c r="U291" s="25" t="str">
        <f aca="false">IF($C291="","",IF(N($L291)&lt;1,0,MIN(100,LOG10($L291+1)/LOG10(設定!$B$44+1)*100)))</f>
        <v/>
      </c>
      <c r="V291" s="25" t="str">
        <f aca="false">IF($C291="","",IF(設定!$B$11=0,0,(O291*設定!$B$4+P291*設定!$B$5+Q291*設定!$B$6+R291*設定!$B$7+S291*設定!$B$8+T291*設定!$B$9+U291*設定!$B$10)/設定!$B$11))</f>
        <v/>
      </c>
      <c r="W291" s="25" t="str">
        <f aca="false">IF($C291="","",IFERROR(INDEX(設定!$B$38:$B$40,MATCH($M291,設定!$A$38:$A$40,0)),1))</f>
        <v/>
      </c>
      <c r="X291" s="26" t="str">
        <f aca="false">IF($C291="","",ROUND(V291*W291,1))</f>
        <v/>
      </c>
      <c r="Y291" s="27" t="str">
        <f aca="false">IF($C291="","",INDEX(設定!$B$49:$B$53,MATCH(X291,設定!$A$49:$A$53,1)))</f>
        <v/>
      </c>
    </row>
    <row r="292" customFormat="false" ht="15" hidden="false" customHeight="false" outlineLevel="0" collapsed="false">
      <c r="A292" s="23" t="n">
        <v>288</v>
      </c>
      <c r="B292" s="24"/>
      <c r="C292" s="9"/>
      <c r="D292" s="9"/>
      <c r="E292" s="15"/>
      <c r="F292" s="9"/>
      <c r="G292" s="17"/>
      <c r="H292" s="9"/>
      <c r="I292" s="9"/>
      <c r="J292" s="9"/>
      <c r="K292" s="9"/>
      <c r="L292" s="17"/>
      <c r="M292" s="9"/>
      <c r="N292" s="9"/>
      <c r="O292" s="25" t="str">
        <f aca="false">IF($C292="","",IFERROR(INDEX(設定!$B$14:$B$18,MATCH($E292,設定!$A$14:$A$18,0)),0))</f>
        <v/>
      </c>
      <c r="P292" s="25" t="str">
        <f aca="false">IF($C292="","",IF(N($G292)&lt;=1,0,MIN(100,LOG10($G292)/LOG10(設定!$B$43)*100)))</f>
        <v/>
      </c>
      <c r="Q292" s="25" t="str">
        <f aca="false">IF($C292="","",IFERROR(INDEX(設定!$B$21:$B$24,MATCH($H292,設定!$A$21:$A$24,0)),0))</f>
        <v/>
      </c>
      <c r="R292" s="25" t="str">
        <f aca="false">IF($C292="","",IF(設定!$B$45&lt;=0,0,MIN(100,N($I292)/設定!$B$45*100)))</f>
        <v/>
      </c>
      <c r="S292" s="25" t="str">
        <f aca="false">IF($C292="","",IFERROR(INDEX(設定!$B$27:$B$29,MATCH($J292,設定!$A$27:$A$29,0)),0))</f>
        <v/>
      </c>
      <c r="T292" s="25" t="str">
        <f aca="false">IF($C292="","",IFERROR(INDEX(設定!$B$32:$B$35,MATCH($K292,設定!$A$32:$A$35,0)),0))</f>
        <v/>
      </c>
      <c r="U292" s="25" t="str">
        <f aca="false">IF($C292="","",IF(N($L292)&lt;1,0,MIN(100,LOG10($L292+1)/LOG10(設定!$B$44+1)*100)))</f>
        <v/>
      </c>
      <c r="V292" s="25" t="str">
        <f aca="false">IF($C292="","",IF(設定!$B$11=0,0,(O292*設定!$B$4+P292*設定!$B$5+Q292*設定!$B$6+R292*設定!$B$7+S292*設定!$B$8+T292*設定!$B$9+U292*設定!$B$10)/設定!$B$11))</f>
        <v/>
      </c>
      <c r="W292" s="25" t="str">
        <f aca="false">IF($C292="","",IFERROR(INDEX(設定!$B$38:$B$40,MATCH($M292,設定!$A$38:$A$40,0)),1))</f>
        <v/>
      </c>
      <c r="X292" s="26" t="str">
        <f aca="false">IF($C292="","",ROUND(V292*W292,1))</f>
        <v/>
      </c>
      <c r="Y292" s="27" t="str">
        <f aca="false">IF($C292="","",INDEX(設定!$B$49:$B$53,MATCH(X292,設定!$A$49:$A$53,1)))</f>
        <v/>
      </c>
    </row>
    <row r="293" customFormat="false" ht="15" hidden="false" customHeight="false" outlineLevel="0" collapsed="false">
      <c r="A293" s="23" t="n">
        <v>289</v>
      </c>
      <c r="B293" s="24"/>
      <c r="C293" s="9"/>
      <c r="D293" s="9"/>
      <c r="E293" s="15"/>
      <c r="F293" s="9"/>
      <c r="G293" s="17"/>
      <c r="H293" s="9"/>
      <c r="I293" s="9"/>
      <c r="J293" s="9"/>
      <c r="K293" s="9"/>
      <c r="L293" s="17"/>
      <c r="M293" s="9"/>
      <c r="N293" s="9"/>
      <c r="O293" s="25" t="str">
        <f aca="false">IF($C293="","",IFERROR(INDEX(設定!$B$14:$B$18,MATCH($E293,設定!$A$14:$A$18,0)),0))</f>
        <v/>
      </c>
      <c r="P293" s="25" t="str">
        <f aca="false">IF($C293="","",IF(N($G293)&lt;=1,0,MIN(100,LOG10($G293)/LOG10(設定!$B$43)*100)))</f>
        <v/>
      </c>
      <c r="Q293" s="25" t="str">
        <f aca="false">IF($C293="","",IFERROR(INDEX(設定!$B$21:$B$24,MATCH($H293,設定!$A$21:$A$24,0)),0))</f>
        <v/>
      </c>
      <c r="R293" s="25" t="str">
        <f aca="false">IF($C293="","",IF(設定!$B$45&lt;=0,0,MIN(100,N($I293)/設定!$B$45*100)))</f>
        <v/>
      </c>
      <c r="S293" s="25" t="str">
        <f aca="false">IF($C293="","",IFERROR(INDEX(設定!$B$27:$B$29,MATCH($J293,設定!$A$27:$A$29,0)),0))</f>
        <v/>
      </c>
      <c r="T293" s="25" t="str">
        <f aca="false">IF($C293="","",IFERROR(INDEX(設定!$B$32:$B$35,MATCH($K293,設定!$A$32:$A$35,0)),0))</f>
        <v/>
      </c>
      <c r="U293" s="25" t="str">
        <f aca="false">IF($C293="","",IF(N($L293)&lt;1,0,MIN(100,LOG10($L293+1)/LOG10(設定!$B$44+1)*100)))</f>
        <v/>
      </c>
      <c r="V293" s="25" t="str">
        <f aca="false">IF($C293="","",IF(設定!$B$11=0,0,(O293*設定!$B$4+P293*設定!$B$5+Q293*設定!$B$6+R293*設定!$B$7+S293*設定!$B$8+T293*設定!$B$9+U293*設定!$B$10)/設定!$B$11))</f>
        <v/>
      </c>
      <c r="W293" s="25" t="str">
        <f aca="false">IF($C293="","",IFERROR(INDEX(設定!$B$38:$B$40,MATCH($M293,設定!$A$38:$A$40,0)),1))</f>
        <v/>
      </c>
      <c r="X293" s="26" t="str">
        <f aca="false">IF($C293="","",ROUND(V293*W293,1))</f>
        <v/>
      </c>
      <c r="Y293" s="27" t="str">
        <f aca="false">IF($C293="","",INDEX(設定!$B$49:$B$53,MATCH(X293,設定!$A$49:$A$53,1)))</f>
        <v/>
      </c>
    </row>
    <row r="294" customFormat="false" ht="15" hidden="false" customHeight="false" outlineLevel="0" collapsed="false">
      <c r="A294" s="23" t="n">
        <v>290</v>
      </c>
      <c r="B294" s="24"/>
      <c r="C294" s="9"/>
      <c r="D294" s="9"/>
      <c r="E294" s="15"/>
      <c r="F294" s="9"/>
      <c r="G294" s="17"/>
      <c r="H294" s="9"/>
      <c r="I294" s="9"/>
      <c r="J294" s="9"/>
      <c r="K294" s="9"/>
      <c r="L294" s="17"/>
      <c r="M294" s="9"/>
      <c r="N294" s="9"/>
      <c r="O294" s="25" t="str">
        <f aca="false">IF($C294="","",IFERROR(INDEX(設定!$B$14:$B$18,MATCH($E294,設定!$A$14:$A$18,0)),0))</f>
        <v/>
      </c>
      <c r="P294" s="25" t="str">
        <f aca="false">IF($C294="","",IF(N($G294)&lt;=1,0,MIN(100,LOG10($G294)/LOG10(設定!$B$43)*100)))</f>
        <v/>
      </c>
      <c r="Q294" s="25" t="str">
        <f aca="false">IF($C294="","",IFERROR(INDEX(設定!$B$21:$B$24,MATCH($H294,設定!$A$21:$A$24,0)),0))</f>
        <v/>
      </c>
      <c r="R294" s="25" t="str">
        <f aca="false">IF($C294="","",IF(設定!$B$45&lt;=0,0,MIN(100,N($I294)/設定!$B$45*100)))</f>
        <v/>
      </c>
      <c r="S294" s="25" t="str">
        <f aca="false">IF($C294="","",IFERROR(INDEX(設定!$B$27:$B$29,MATCH($J294,設定!$A$27:$A$29,0)),0))</f>
        <v/>
      </c>
      <c r="T294" s="25" t="str">
        <f aca="false">IF($C294="","",IFERROR(INDEX(設定!$B$32:$B$35,MATCH($K294,設定!$A$32:$A$35,0)),0))</f>
        <v/>
      </c>
      <c r="U294" s="25" t="str">
        <f aca="false">IF($C294="","",IF(N($L294)&lt;1,0,MIN(100,LOG10($L294+1)/LOG10(設定!$B$44+1)*100)))</f>
        <v/>
      </c>
      <c r="V294" s="25" t="str">
        <f aca="false">IF($C294="","",IF(設定!$B$11=0,0,(O294*設定!$B$4+P294*設定!$B$5+Q294*設定!$B$6+R294*設定!$B$7+S294*設定!$B$8+T294*設定!$B$9+U294*設定!$B$10)/設定!$B$11))</f>
        <v/>
      </c>
      <c r="W294" s="25" t="str">
        <f aca="false">IF($C294="","",IFERROR(INDEX(設定!$B$38:$B$40,MATCH($M294,設定!$A$38:$A$40,0)),1))</f>
        <v/>
      </c>
      <c r="X294" s="26" t="str">
        <f aca="false">IF($C294="","",ROUND(V294*W294,1))</f>
        <v/>
      </c>
      <c r="Y294" s="27" t="str">
        <f aca="false">IF($C294="","",INDEX(設定!$B$49:$B$53,MATCH(X294,設定!$A$49:$A$53,1)))</f>
        <v/>
      </c>
    </row>
    <row r="295" customFormat="false" ht="15" hidden="false" customHeight="false" outlineLevel="0" collapsed="false">
      <c r="A295" s="23" t="n">
        <v>291</v>
      </c>
      <c r="B295" s="24"/>
      <c r="C295" s="9"/>
      <c r="D295" s="9"/>
      <c r="E295" s="15"/>
      <c r="F295" s="9"/>
      <c r="G295" s="17"/>
      <c r="H295" s="9"/>
      <c r="I295" s="9"/>
      <c r="J295" s="9"/>
      <c r="K295" s="9"/>
      <c r="L295" s="17"/>
      <c r="M295" s="9"/>
      <c r="N295" s="9"/>
      <c r="O295" s="25" t="str">
        <f aca="false">IF($C295="","",IFERROR(INDEX(設定!$B$14:$B$18,MATCH($E295,設定!$A$14:$A$18,0)),0))</f>
        <v/>
      </c>
      <c r="P295" s="25" t="str">
        <f aca="false">IF($C295="","",IF(N($G295)&lt;=1,0,MIN(100,LOG10($G295)/LOG10(設定!$B$43)*100)))</f>
        <v/>
      </c>
      <c r="Q295" s="25" t="str">
        <f aca="false">IF($C295="","",IFERROR(INDEX(設定!$B$21:$B$24,MATCH($H295,設定!$A$21:$A$24,0)),0))</f>
        <v/>
      </c>
      <c r="R295" s="25" t="str">
        <f aca="false">IF($C295="","",IF(設定!$B$45&lt;=0,0,MIN(100,N($I295)/設定!$B$45*100)))</f>
        <v/>
      </c>
      <c r="S295" s="25" t="str">
        <f aca="false">IF($C295="","",IFERROR(INDEX(設定!$B$27:$B$29,MATCH($J295,設定!$A$27:$A$29,0)),0))</f>
        <v/>
      </c>
      <c r="T295" s="25" t="str">
        <f aca="false">IF($C295="","",IFERROR(INDEX(設定!$B$32:$B$35,MATCH($K295,設定!$A$32:$A$35,0)),0))</f>
        <v/>
      </c>
      <c r="U295" s="25" t="str">
        <f aca="false">IF($C295="","",IF(N($L295)&lt;1,0,MIN(100,LOG10($L295+1)/LOG10(設定!$B$44+1)*100)))</f>
        <v/>
      </c>
      <c r="V295" s="25" t="str">
        <f aca="false">IF($C295="","",IF(設定!$B$11=0,0,(O295*設定!$B$4+P295*設定!$B$5+Q295*設定!$B$6+R295*設定!$B$7+S295*設定!$B$8+T295*設定!$B$9+U295*設定!$B$10)/設定!$B$11))</f>
        <v/>
      </c>
      <c r="W295" s="25" t="str">
        <f aca="false">IF($C295="","",IFERROR(INDEX(設定!$B$38:$B$40,MATCH($M295,設定!$A$38:$A$40,0)),1))</f>
        <v/>
      </c>
      <c r="X295" s="26" t="str">
        <f aca="false">IF($C295="","",ROUND(V295*W295,1))</f>
        <v/>
      </c>
      <c r="Y295" s="27" t="str">
        <f aca="false">IF($C295="","",INDEX(設定!$B$49:$B$53,MATCH(X295,設定!$A$49:$A$53,1)))</f>
        <v/>
      </c>
    </row>
    <row r="296" customFormat="false" ht="15" hidden="false" customHeight="false" outlineLevel="0" collapsed="false">
      <c r="A296" s="23" t="n">
        <v>292</v>
      </c>
      <c r="B296" s="24"/>
      <c r="C296" s="9"/>
      <c r="D296" s="9"/>
      <c r="E296" s="15"/>
      <c r="F296" s="9"/>
      <c r="G296" s="17"/>
      <c r="H296" s="9"/>
      <c r="I296" s="9"/>
      <c r="J296" s="9"/>
      <c r="K296" s="9"/>
      <c r="L296" s="17"/>
      <c r="M296" s="9"/>
      <c r="N296" s="9"/>
      <c r="O296" s="25" t="str">
        <f aca="false">IF($C296="","",IFERROR(INDEX(設定!$B$14:$B$18,MATCH($E296,設定!$A$14:$A$18,0)),0))</f>
        <v/>
      </c>
      <c r="P296" s="25" t="str">
        <f aca="false">IF($C296="","",IF(N($G296)&lt;=1,0,MIN(100,LOG10($G296)/LOG10(設定!$B$43)*100)))</f>
        <v/>
      </c>
      <c r="Q296" s="25" t="str">
        <f aca="false">IF($C296="","",IFERROR(INDEX(設定!$B$21:$B$24,MATCH($H296,設定!$A$21:$A$24,0)),0))</f>
        <v/>
      </c>
      <c r="R296" s="25" t="str">
        <f aca="false">IF($C296="","",IF(設定!$B$45&lt;=0,0,MIN(100,N($I296)/設定!$B$45*100)))</f>
        <v/>
      </c>
      <c r="S296" s="25" t="str">
        <f aca="false">IF($C296="","",IFERROR(INDEX(設定!$B$27:$B$29,MATCH($J296,設定!$A$27:$A$29,0)),0))</f>
        <v/>
      </c>
      <c r="T296" s="25" t="str">
        <f aca="false">IF($C296="","",IFERROR(INDEX(設定!$B$32:$B$35,MATCH($K296,設定!$A$32:$A$35,0)),0))</f>
        <v/>
      </c>
      <c r="U296" s="25" t="str">
        <f aca="false">IF($C296="","",IF(N($L296)&lt;1,0,MIN(100,LOG10($L296+1)/LOG10(設定!$B$44+1)*100)))</f>
        <v/>
      </c>
      <c r="V296" s="25" t="str">
        <f aca="false">IF($C296="","",IF(設定!$B$11=0,0,(O296*設定!$B$4+P296*設定!$B$5+Q296*設定!$B$6+R296*設定!$B$7+S296*設定!$B$8+T296*設定!$B$9+U296*設定!$B$10)/設定!$B$11))</f>
        <v/>
      </c>
      <c r="W296" s="25" t="str">
        <f aca="false">IF($C296="","",IFERROR(INDEX(設定!$B$38:$B$40,MATCH($M296,設定!$A$38:$A$40,0)),1))</f>
        <v/>
      </c>
      <c r="X296" s="26" t="str">
        <f aca="false">IF($C296="","",ROUND(V296*W296,1))</f>
        <v/>
      </c>
      <c r="Y296" s="27" t="str">
        <f aca="false">IF($C296="","",INDEX(設定!$B$49:$B$53,MATCH(X296,設定!$A$49:$A$53,1)))</f>
        <v/>
      </c>
    </row>
    <row r="297" customFormat="false" ht="15" hidden="false" customHeight="false" outlineLevel="0" collapsed="false">
      <c r="A297" s="23" t="n">
        <v>293</v>
      </c>
      <c r="B297" s="24"/>
      <c r="C297" s="9"/>
      <c r="D297" s="9"/>
      <c r="E297" s="15"/>
      <c r="F297" s="9"/>
      <c r="G297" s="17"/>
      <c r="H297" s="9"/>
      <c r="I297" s="9"/>
      <c r="J297" s="9"/>
      <c r="K297" s="9"/>
      <c r="L297" s="17"/>
      <c r="M297" s="9"/>
      <c r="N297" s="9"/>
      <c r="O297" s="25" t="str">
        <f aca="false">IF($C297="","",IFERROR(INDEX(設定!$B$14:$B$18,MATCH($E297,設定!$A$14:$A$18,0)),0))</f>
        <v/>
      </c>
      <c r="P297" s="25" t="str">
        <f aca="false">IF($C297="","",IF(N($G297)&lt;=1,0,MIN(100,LOG10($G297)/LOG10(設定!$B$43)*100)))</f>
        <v/>
      </c>
      <c r="Q297" s="25" t="str">
        <f aca="false">IF($C297="","",IFERROR(INDEX(設定!$B$21:$B$24,MATCH($H297,設定!$A$21:$A$24,0)),0))</f>
        <v/>
      </c>
      <c r="R297" s="25" t="str">
        <f aca="false">IF($C297="","",IF(設定!$B$45&lt;=0,0,MIN(100,N($I297)/設定!$B$45*100)))</f>
        <v/>
      </c>
      <c r="S297" s="25" t="str">
        <f aca="false">IF($C297="","",IFERROR(INDEX(設定!$B$27:$B$29,MATCH($J297,設定!$A$27:$A$29,0)),0))</f>
        <v/>
      </c>
      <c r="T297" s="25" t="str">
        <f aca="false">IF($C297="","",IFERROR(INDEX(設定!$B$32:$B$35,MATCH($K297,設定!$A$32:$A$35,0)),0))</f>
        <v/>
      </c>
      <c r="U297" s="25" t="str">
        <f aca="false">IF($C297="","",IF(N($L297)&lt;1,0,MIN(100,LOG10($L297+1)/LOG10(設定!$B$44+1)*100)))</f>
        <v/>
      </c>
      <c r="V297" s="25" t="str">
        <f aca="false">IF($C297="","",IF(設定!$B$11=0,0,(O297*設定!$B$4+P297*設定!$B$5+Q297*設定!$B$6+R297*設定!$B$7+S297*設定!$B$8+T297*設定!$B$9+U297*設定!$B$10)/設定!$B$11))</f>
        <v/>
      </c>
      <c r="W297" s="25" t="str">
        <f aca="false">IF($C297="","",IFERROR(INDEX(設定!$B$38:$B$40,MATCH($M297,設定!$A$38:$A$40,0)),1))</f>
        <v/>
      </c>
      <c r="X297" s="26" t="str">
        <f aca="false">IF($C297="","",ROUND(V297*W297,1))</f>
        <v/>
      </c>
      <c r="Y297" s="27" t="str">
        <f aca="false">IF($C297="","",INDEX(設定!$B$49:$B$53,MATCH(X297,設定!$A$49:$A$53,1)))</f>
        <v/>
      </c>
    </row>
    <row r="298" customFormat="false" ht="15" hidden="false" customHeight="false" outlineLevel="0" collapsed="false">
      <c r="A298" s="23" t="n">
        <v>294</v>
      </c>
      <c r="B298" s="24"/>
      <c r="C298" s="9"/>
      <c r="D298" s="9"/>
      <c r="E298" s="15"/>
      <c r="F298" s="9"/>
      <c r="G298" s="17"/>
      <c r="H298" s="9"/>
      <c r="I298" s="9"/>
      <c r="J298" s="9"/>
      <c r="K298" s="9"/>
      <c r="L298" s="17"/>
      <c r="M298" s="9"/>
      <c r="N298" s="9"/>
      <c r="O298" s="25" t="str">
        <f aca="false">IF($C298="","",IFERROR(INDEX(設定!$B$14:$B$18,MATCH($E298,設定!$A$14:$A$18,0)),0))</f>
        <v/>
      </c>
      <c r="P298" s="25" t="str">
        <f aca="false">IF($C298="","",IF(N($G298)&lt;=1,0,MIN(100,LOG10($G298)/LOG10(設定!$B$43)*100)))</f>
        <v/>
      </c>
      <c r="Q298" s="25" t="str">
        <f aca="false">IF($C298="","",IFERROR(INDEX(設定!$B$21:$B$24,MATCH($H298,設定!$A$21:$A$24,0)),0))</f>
        <v/>
      </c>
      <c r="R298" s="25" t="str">
        <f aca="false">IF($C298="","",IF(設定!$B$45&lt;=0,0,MIN(100,N($I298)/設定!$B$45*100)))</f>
        <v/>
      </c>
      <c r="S298" s="25" t="str">
        <f aca="false">IF($C298="","",IFERROR(INDEX(設定!$B$27:$B$29,MATCH($J298,設定!$A$27:$A$29,0)),0))</f>
        <v/>
      </c>
      <c r="T298" s="25" t="str">
        <f aca="false">IF($C298="","",IFERROR(INDEX(設定!$B$32:$B$35,MATCH($K298,設定!$A$32:$A$35,0)),0))</f>
        <v/>
      </c>
      <c r="U298" s="25" t="str">
        <f aca="false">IF($C298="","",IF(N($L298)&lt;1,0,MIN(100,LOG10($L298+1)/LOG10(設定!$B$44+1)*100)))</f>
        <v/>
      </c>
      <c r="V298" s="25" t="str">
        <f aca="false">IF($C298="","",IF(設定!$B$11=0,0,(O298*設定!$B$4+P298*設定!$B$5+Q298*設定!$B$6+R298*設定!$B$7+S298*設定!$B$8+T298*設定!$B$9+U298*設定!$B$10)/設定!$B$11))</f>
        <v/>
      </c>
      <c r="W298" s="25" t="str">
        <f aca="false">IF($C298="","",IFERROR(INDEX(設定!$B$38:$B$40,MATCH($M298,設定!$A$38:$A$40,0)),1))</f>
        <v/>
      </c>
      <c r="X298" s="26" t="str">
        <f aca="false">IF($C298="","",ROUND(V298*W298,1))</f>
        <v/>
      </c>
      <c r="Y298" s="27" t="str">
        <f aca="false">IF($C298="","",INDEX(設定!$B$49:$B$53,MATCH(X298,設定!$A$49:$A$53,1)))</f>
        <v/>
      </c>
    </row>
    <row r="299" customFormat="false" ht="15" hidden="false" customHeight="false" outlineLevel="0" collapsed="false">
      <c r="A299" s="23" t="n">
        <v>295</v>
      </c>
      <c r="B299" s="24"/>
      <c r="C299" s="9"/>
      <c r="D299" s="9"/>
      <c r="E299" s="15"/>
      <c r="F299" s="9"/>
      <c r="G299" s="17"/>
      <c r="H299" s="9"/>
      <c r="I299" s="9"/>
      <c r="J299" s="9"/>
      <c r="K299" s="9"/>
      <c r="L299" s="17"/>
      <c r="M299" s="9"/>
      <c r="N299" s="9"/>
      <c r="O299" s="25" t="str">
        <f aca="false">IF($C299="","",IFERROR(INDEX(設定!$B$14:$B$18,MATCH($E299,設定!$A$14:$A$18,0)),0))</f>
        <v/>
      </c>
      <c r="P299" s="25" t="str">
        <f aca="false">IF($C299="","",IF(N($G299)&lt;=1,0,MIN(100,LOG10($G299)/LOG10(設定!$B$43)*100)))</f>
        <v/>
      </c>
      <c r="Q299" s="25" t="str">
        <f aca="false">IF($C299="","",IFERROR(INDEX(設定!$B$21:$B$24,MATCH($H299,設定!$A$21:$A$24,0)),0))</f>
        <v/>
      </c>
      <c r="R299" s="25" t="str">
        <f aca="false">IF($C299="","",IF(設定!$B$45&lt;=0,0,MIN(100,N($I299)/設定!$B$45*100)))</f>
        <v/>
      </c>
      <c r="S299" s="25" t="str">
        <f aca="false">IF($C299="","",IFERROR(INDEX(設定!$B$27:$B$29,MATCH($J299,設定!$A$27:$A$29,0)),0))</f>
        <v/>
      </c>
      <c r="T299" s="25" t="str">
        <f aca="false">IF($C299="","",IFERROR(INDEX(設定!$B$32:$B$35,MATCH($K299,設定!$A$32:$A$35,0)),0))</f>
        <v/>
      </c>
      <c r="U299" s="25" t="str">
        <f aca="false">IF($C299="","",IF(N($L299)&lt;1,0,MIN(100,LOG10($L299+1)/LOG10(設定!$B$44+1)*100)))</f>
        <v/>
      </c>
      <c r="V299" s="25" t="str">
        <f aca="false">IF($C299="","",IF(設定!$B$11=0,0,(O299*設定!$B$4+P299*設定!$B$5+Q299*設定!$B$6+R299*設定!$B$7+S299*設定!$B$8+T299*設定!$B$9+U299*設定!$B$10)/設定!$B$11))</f>
        <v/>
      </c>
      <c r="W299" s="25" t="str">
        <f aca="false">IF($C299="","",IFERROR(INDEX(設定!$B$38:$B$40,MATCH($M299,設定!$A$38:$A$40,0)),1))</f>
        <v/>
      </c>
      <c r="X299" s="26" t="str">
        <f aca="false">IF($C299="","",ROUND(V299*W299,1))</f>
        <v/>
      </c>
      <c r="Y299" s="27" t="str">
        <f aca="false">IF($C299="","",INDEX(設定!$B$49:$B$53,MATCH(X299,設定!$A$49:$A$53,1)))</f>
        <v/>
      </c>
    </row>
    <row r="300" customFormat="false" ht="15" hidden="false" customHeight="false" outlineLevel="0" collapsed="false">
      <c r="A300" s="23" t="n">
        <v>296</v>
      </c>
      <c r="B300" s="24"/>
      <c r="C300" s="9"/>
      <c r="D300" s="9"/>
      <c r="E300" s="15"/>
      <c r="F300" s="9"/>
      <c r="G300" s="17"/>
      <c r="H300" s="9"/>
      <c r="I300" s="9"/>
      <c r="J300" s="9"/>
      <c r="K300" s="9"/>
      <c r="L300" s="17"/>
      <c r="M300" s="9"/>
      <c r="N300" s="9"/>
      <c r="O300" s="25" t="str">
        <f aca="false">IF($C300="","",IFERROR(INDEX(設定!$B$14:$B$18,MATCH($E300,設定!$A$14:$A$18,0)),0))</f>
        <v/>
      </c>
      <c r="P300" s="25" t="str">
        <f aca="false">IF($C300="","",IF(N($G300)&lt;=1,0,MIN(100,LOG10($G300)/LOG10(設定!$B$43)*100)))</f>
        <v/>
      </c>
      <c r="Q300" s="25" t="str">
        <f aca="false">IF($C300="","",IFERROR(INDEX(設定!$B$21:$B$24,MATCH($H300,設定!$A$21:$A$24,0)),0))</f>
        <v/>
      </c>
      <c r="R300" s="25" t="str">
        <f aca="false">IF($C300="","",IF(設定!$B$45&lt;=0,0,MIN(100,N($I300)/設定!$B$45*100)))</f>
        <v/>
      </c>
      <c r="S300" s="25" t="str">
        <f aca="false">IF($C300="","",IFERROR(INDEX(設定!$B$27:$B$29,MATCH($J300,設定!$A$27:$A$29,0)),0))</f>
        <v/>
      </c>
      <c r="T300" s="25" t="str">
        <f aca="false">IF($C300="","",IFERROR(INDEX(設定!$B$32:$B$35,MATCH($K300,設定!$A$32:$A$35,0)),0))</f>
        <v/>
      </c>
      <c r="U300" s="25" t="str">
        <f aca="false">IF($C300="","",IF(N($L300)&lt;1,0,MIN(100,LOG10($L300+1)/LOG10(設定!$B$44+1)*100)))</f>
        <v/>
      </c>
      <c r="V300" s="25" t="str">
        <f aca="false">IF($C300="","",IF(設定!$B$11=0,0,(O300*設定!$B$4+P300*設定!$B$5+Q300*設定!$B$6+R300*設定!$B$7+S300*設定!$B$8+T300*設定!$B$9+U300*設定!$B$10)/設定!$B$11))</f>
        <v/>
      </c>
      <c r="W300" s="25" t="str">
        <f aca="false">IF($C300="","",IFERROR(INDEX(設定!$B$38:$B$40,MATCH($M300,設定!$A$38:$A$40,0)),1))</f>
        <v/>
      </c>
      <c r="X300" s="26" t="str">
        <f aca="false">IF($C300="","",ROUND(V300*W300,1))</f>
        <v/>
      </c>
      <c r="Y300" s="27" t="str">
        <f aca="false">IF($C300="","",INDEX(設定!$B$49:$B$53,MATCH(X300,設定!$A$49:$A$53,1)))</f>
        <v/>
      </c>
    </row>
    <row r="301" customFormat="false" ht="15" hidden="false" customHeight="false" outlineLevel="0" collapsed="false">
      <c r="A301" s="23" t="n">
        <v>297</v>
      </c>
      <c r="B301" s="24"/>
      <c r="C301" s="9"/>
      <c r="D301" s="9"/>
      <c r="E301" s="15"/>
      <c r="F301" s="9"/>
      <c r="G301" s="17"/>
      <c r="H301" s="9"/>
      <c r="I301" s="9"/>
      <c r="J301" s="9"/>
      <c r="K301" s="9"/>
      <c r="L301" s="17"/>
      <c r="M301" s="9"/>
      <c r="N301" s="9"/>
      <c r="O301" s="25" t="str">
        <f aca="false">IF($C301="","",IFERROR(INDEX(設定!$B$14:$B$18,MATCH($E301,設定!$A$14:$A$18,0)),0))</f>
        <v/>
      </c>
      <c r="P301" s="25" t="str">
        <f aca="false">IF($C301="","",IF(N($G301)&lt;=1,0,MIN(100,LOG10($G301)/LOG10(設定!$B$43)*100)))</f>
        <v/>
      </c>
      <c r="Q301" s="25" t="str">
        <f aca="false">IF($C301="","",IFERROR(INDEX(設定!$B$21:$B$24,MATCH($H301,設定!$A$21:$A$24,0)),0))</f>
        <v/>
      </c>
      <c r="R301" s="25" t="str">
        <f aca="false">IF($C301="","",IF(設定!$B$45&lt;=0,0,MIN(100,N($I301)/設定!$B$45*100)))</f>
        <v/>
      </c>
      <c r="S301" s="25" t="str">
        <f aca="false">IF($C301="","",IFERROR(INDEX(設定!$B$27:$B$29,MATCH($J301,設定!$A$27:$A$29,0)),0))</f>
        <v/>
      </c>
      <c r="T301" s="25" t="str">
        <f aca="false">IF($C301="","",IFERROR(INDEX(設定!$B$32:$B$35,MATCH($K301,設定!$A$32:$A$35,0)),0))</f>
        <v/>
      </c>
      <c r="U301" s="25" t="str">
        <f aca="false">IF($C301="","",IF(N($L301)&lt;1,0,MIN(100,LOG10($L301+1)/LOG10(設定!$B$44+1)*100)))</f>
        <v/>
      </c>
      <c r="V301" s="25" t="str">
        <f aca="false">IF($C301="","",IF(設定!$B$11=0,0,(O301*設定!$B$4+P301*設定!$B$5+Q301*設定!$B$6+R301*設定!$B$7+S301*設定!$B$8+T301*設定!$B$9+U301*設定!$B$10)/設定!$B$11))</f>
        <v/>
      </c>
      <c r="W301" s="25" t="str">
        <f aca="false">IF($C301="","",IFERROR(INDEX(設定!$B$38:$B$40,MATCH($M301,設定!$A$38:$A$40,0)),1))</f>
        <v/>
      </c>
      <c r="X301" s="26" t="str">
        <f aca="false">IF($C301="","",ROUND(V301*W301,1))</f>
        <v/>
      </c>
      <c r="Y301" s="27" t="str">
        <f aca="false">IF($C301="","",INDEX(設定!$B$49:$B$53,MATCH(X301,設定!$A$49:$A$53,1)))</f>
        <v/>
      </c>
    </row>
    <row r="302" customFormat="false" ht="15" hidden="false" customHeight="false" outlineLevel="0" collapsed="false">
      <c r="A302" s="23" t="n">
        <v>298</v>
      </c>
      <c r="B302" s="24"/>
      <c r="C302" s="9"/>
      <c r="D302" s="9"/>
      <c r="E302" s="15"/>
      <c r="F302" s="9"/>
      <c r="G302" s="17"/>
      <c r="H302" s="9"/>
      <c r="I302" s="9"/>
      <c r="J302" s="9"/>
      <c r="K302" s="9"/>
      <c r="L302" s="17"/>
      <c r="M302" s="9"/>
      <c r="N302" s="9"/>
      <c r="O302" s="25" t="str">
        <f aca="false">IF($C302="","",IFERROR(INDEX(設定!$B$14:$B$18,MATCH($E302,設定!$A$14:$A$18,0)),0))</f>
        <v/>
      </c>
      <c r="P302" s="25" t="str">
        <f aca="false">IF($C302="","",IF(N($G302)&lt;=1,0,MIN(100,LOG10($G302)/LOG10(設定!$B$43)*100)))</f>
        <v/>
      </c>
      <c r="Q302" s="25" t="str">
        <f aca="false">IF($C302="","",IFERROR(INDEX(設定!$B$21:$B$24,MATCH($H302,設定!$A$21:$A$24,0)),0))</f>
        <v/>
      </c>
      <c r="R302" s="25" t="str">
        <f aca="false">IF($C302="","",IF(設定!$B$45&lt;=0,0,MIN(100,N($I302)/設定!$B$45*100)))</f>
        <v/>
      </c>
      <c r="S302" s="25" t="str">
        <f aca="false">IF($C302="","",IFERROR(INDEX(設定!$B$27:$B$29,MATCH($J302,設定!$A$27:$A$29,0)),0))</f>
        <v/>
      </c>
      <c r="T302" s="25" t="str">
        <f aca="false">IF($C302="","",IFERROR(INDEX(設定!$B$32:$B$35,MATCH($K302,設定!$A$32:$A$35,0)),0))</f>
        <v/>
      </c>
      <c r="U302" s="25" t="str">
        <f aca="false">IF($C302="","",IF(N($L302)&lt;1,0,MIN(100,LOG10($L302+1)/LOG10(設定!$B$44+1)*100)))</f>
        <v/>
      </c>
      <c r="V302" s="25" t="str">
        <f aca="false">IF($C302="","",IF(設定!$B$11=0,0,(O302*設定!$B$4+P302*設定!$B$5+Q302*設定!$B$6+R302*設定!$B$7+S302*設定!$B$8+T302*設定!$B$9+U302*設定!$B$10)/設定!$B$11))</f>
        <v/>
      </c>
      <c r="W302" s="25" t="str">
        <f aca="false">IF($C302="","",IFERROR(INDEX(設定!$B$38:$B$40,MATCH($M302,設定!$A$38:$A$40,0)),1))</f>
        <v/>
      </c>
      <c r="X302" s="26" t="str">
        <f aca="false">IF($C302="","",ROUND(V302*W302,1))</f>
        <v/>
      </c>
      <c r="Y302" s="27" t="str">
        <f aca="false">IF($C302="","",INDEX(設定!$B$49:$B$53,MATCH(X302,設定!$A$49:$A$53,1)))</f>
        <v/>
      </c>
    </row>
    <row r="303" customFormat="false" ht="15" hidden="false" customHeight="false" outlineLevel="0" collapsed="false">
      <c r="A303" s="23" t="n">
        <v>299</v>
      </c>
      <c r="B303" s="24"/>
      <c r="C303" s="9"/>
      <c r="D303" s="9"/>
      <c r="E303" s="15"/>
      <c r="F303" s="9"/>
      <c r="G303" s="17"/>
      <c r="H303" s="9"/>
      <c r="I303" s="9"/>
      <c r="J303" s="9"/>
      <c r="K303" s="9"/>
      <c r="L303" s="17"/>
      <c r="M303" s="9"/>
      <c r="N303" s="9"/>
      <c r="O303" s="25" t="str">
        <f aca="false">IF($C303="","",IFERROR(INDEX(設定!$B$14:$B$18,MATCH($E303,設定!$A$14:$A$18,0)),0))</f>
        <v/>
      </c>
      <c r="P303" s="25" t="str">
        <f aca="false">IF($C303="","",IF(N($G303)&lt;=1,0,MIN(100,LOG10($G303)/LOG10(設定!$B$43)*100)))</f>
        <v/>
      </c>
      <c r="Q303" s="25" t="str">
        <f aca="false">IF($C303="","",IFERROR(INDEX(設定!$B$21:$B$24,MATCH($H303,設定!$A$21:$A$24,0)),0))</f>
        <v/>
      </c>
      <c r="R303" s="25" t="str">
        <f aca="false">IF($C303="","",IF(設定!$B$45&lt;=0,0,MIN(100,N($I303)/設定!$B$45*100)))</f>
        <v/>
      </c>
      <c r="S303" s="25" t="str">
        <f aca="false">IF($C303="","",IFERROR(INDEX(設定!$B$27:$B$29,MATCH($J303,設定!$A$27:$A$29,0)),0))</f>
        <v/>
      </c>
      <c r="T303" s="25" t="str">
        <f aca="false">IF($C303="","",IFERROR(INDEX(設定!$B$32:$B$35,MATCH($K303,設定!$A$32:$A$35,0)),0))</f>
        <v/>
      </c>
      <c r="U303" s="25" t="str">
        <f aca="false">IF($C303="","",IF(N($L303)&lt;1,0,MIN(100,LOG10($L303+1)/LOG10(設定!$B$44+1)*100)))</f>
        <v/>
      </c>
      <c r="V303" s="25" t="str">
        <f aca="false">IF($C303="","",IF(設定!$B$11=0,0,(O303*設定!$B$4+P303*設定!$B$5+Q303*設定!$B$6+R303*設定!$B$7+S303*設定!$B$8+T303*設定!$B$9+U303*設定!$B$10)/設定!$B$11))</f>
        <v/>
      </c>
      <c r="W303" s="25" t="str">
        <f aca="false">IF($C303="","",IFERROR(INDEX(設定!$B$38:$B$40,MATCH($M303,設定!$A$38:$A$40,0)),1))</f>
        <v/>
      </c>
      <c r="X303" s="26" t="str">
        <f aca="false">IF($C303="","",ROUND(V303*W303,1))</f>
        <v/>
      </c>
      <c r="Y303" s="27" t="str">
        <f aca="false">IF($C303="","",INDEX(設定!$B$49:$B$53,MATCH(X303,設定!$A$49:$A$53,1)))</f>
        <v/>
      </c>
    </row>
    <row r="304" customFormat="false" ht="15" hidden="false" customHeight="false" outlineLevel="0" collapsed="false">
      <c r="A304" s="23" t="n">
        <v>300</v>
      </c>
      <c r="B304" s="24"/>
      <c r="C304" s="9"/>
      <c r="D304" s="9"/>
      <c r="E304" s="15"/>
      <c r="F304" s="9"/>
      <c r="G304" s="17"/>
      <c r="H304" s="9"/>
      <c r="I304" s="9"/>
      <c r="J304" s="9"/>
      <c r="K304" s="9"/>
      <c r="L304" s="17"/>
      <c r="M304" s="9"/>
      <c r="N304" s="9"/>
      <c r="O304" s="25" t="str">
        <f aca="false">IF($C304="","",IFERROR(INDEX(設定!$B$14:$B$18,MATCH($E304,設定!$A$14:$A$18,0)),0))</f>
        <v/>
      </c>
      <c r="P304" s="25" t="str">
        <f aca="false">IF($C304="","",IF(N($G304)&lt;=1,0,MIN(100,LOG10($G304)/LOG10(設定!$B$43)*100)))</f>
        <v/>
      </c>
      <c r="Q304" s="25" t="str">
        <f aca="false">IF($C304="","",IFERROR(INDEX(設定!$B$21:$B$24,MATCH($H304,設定!$A$21:$A$24,0)),0))</f>
        <v/>
      </c>
      <c r="R304" s="25" t="str">
        <f aca="false">IF($C304="","",IF(設定!$B$45&lt;=0,0,MIN(100,N($I304)/設定!$B$45*100)))</f>
        <v/>
      </c>
      <c r="S304" s="25" t="str">
        <f aca="false">IF($C304="","",IFERROR(INDEX(設定!$B$27:$B$29,MATCH($J304,設定!$A$27:$A$29,0)),0))</f>
        <v/>
      </c>
      <c r="T304" s="25" t="str">
        <f aca="false">IF($C304="","",IFERROR(INDEX(設定!$B$32:$B$35,MATCH($K304,設定!$A$32:$A$35,0)),0))</f>
        <v/>
      </c>
      <c r="U304" s="25" t="str">
        <f aca="false">IF($C304="","",IF(N($L304)&lt;1,0,MIN(100,LOG10($L304+1)/LOG10(設定!$B$44+1)*100)))</f>
        <v/>
      </c>
      <c r="V304" s="25" t="str">
        <f aca="false">IF($C304="","",IF(設定!$B$11=0,0,(O304*設定!$B$4+P304*設定!$B$5+Q304*設定!$B$6+R304*設定!$B$7+S304*設定!$B$8+T304*設定!$B$9+U304*設定!$B$10)/設定!$B$11))</f>
        <v/>
      </c>
      <c r="W304" s="25" t="str">
        <f aca="false">IF($C304="","",IFERROR(INDEX(設定!$B$38:$B$40,MATCH($M304,設定!$A$38:$A$40,0)),1))</f>
        <v/>
      </c>
      <c r="X304" s="26" t="str">
        <f aca="false">IF($C304="","",ROUND(V304*W304,1))</f>
        <v/>
      </c>
      <c r="Y304" s="27" t="str">
        <f aca="false">IF($C304="","",INDEX(設定!$B$49:$B$53,MATCH(X304,設定!$A$49:$A$53,1)))</f>
        <v/>
      </c>
    </row>
  </sheetData>
  <conditionalFormatting sqref="X5:X304">
    <cfRule type="cellIs" priority="2" operator="lessThan" aboveAverage="0" equalAverage="0" bottom="0" percent="0" rank="0" text="" dxfId="0">
      <formula>0</formula>
    </cfRule>
  </conditionalFormatting>
  <dataValidations count="6">
    <dataValidation allowBlank="true" errorStyle="stop" operator="between" showDropDown="false" showErrorMessage="false" showInputMessage="false" sqref="D5:D304" type="list">
      <formula1>設定!$A$57:$A$64</formula1>
      <formula2>0</formula2>
    </dataValidation>
    <dataValidation allowBlank="true" errorStyle="stop" operator="between" showDropDown="false" showErrorMessage="false" showInputMessage="false" sqref="E5:E304" type="list">
      <formula1>設定!$A$14:$A$18</formula1>
      <formula2>0</formula2>
    </dataValidation>
    <dataValidation allowBlank="true" errorStyle="stop" operator="between" showDropDown="false" showErrorMessage="false" showInputMessage="false" sqref="H5:H304" type="list">
      <formula1>設定!$A$21:$A$24</formula1>
      <formula2>0</formula2>
    </dataValidation>
    <dataValidation allowBlank="true" errorStyle="stop" operator="between" showDropDown="false" showErrorMessage="false" showInputMessage="false" sqref="J5:J304" type="list">
      <formula1>設定!$A$27:$A$29</formula1>
      <formula2>0</formula2>
    </dataValidation>
    <dataValidation allowBlank="true" errorStyle="stop" operator="between" showDropDown="false" showErrorMessage="false" showInputMessage="false" sqref="K5:K304" type="list">
      <formula1>設定!$A$32:$A$35</formula1>
      <formula2>0</formula2>
    </dataValidation>
    <dataValidation allowBlank="true" errorStyle="stop" operator="between" showDropDown="false" showErrorMessage="false" showInputMessage="false" sqref="M5:M304" type="list">
      <formula1>設定!$A$38:$A$40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5" t="s">
        <v>150</v>
      </c>
    </row>
    <row r="3" customFormat="false" ht="15" hidden="false" customHeight="false" outlineLevel="0" collapsed="false">
      <c r="A3" s="13" t="s">
        <v>151</v>
      </c>
    </row>
    <row r="4" customFormat="false" ht="15" hidden="false" customHeight="false" outlineLevel="0" collapsed="false">
      <c r="A4" s="28" t="s">
        <v>152</v>
      </c>
      <c r="B4" s="29" t="n">
        <f aca="false">COUNTIF(露出ログ!$C$5:$C$304,"?*")</f>
        <v>5</v>
      </c>
    </row>
    <row r="5" customFormat="false" ht="15" hidden="false" customHeight="false" outlineLevel="0" collapsed="false">
      <c r="A5" s="23" t="s">
        <v>153</v>
      </c>
      <c r="B5" s="30" t="n">
        <f aca="false">SUM(露出ログ!$X$5:$X$304)</f>
        <v>271.9</v>
      </c>
    </row>
    <row r="6" customFormat="false" ht="15" hidden="false" customHeight="false" outlineLevel="0" collapsed="false">
      <c r="A6" s="23" t="s">
        <v>154</v>
      </c>
      <c r="B6" s="31" t="n">
        <f aca="false">IF(B4=0,0,B5/B4)</f>
        <v>54.38</v>
      </c>
    </row>
    <row r="7" customFormat="false" ht="15" hidden="false" customHeight="false" outlineLevel="0" collapsed="false">
      <c r="A7" s="28" t="s">
        <v>155</v>
      </c>
      <c r="B7" s="29" t="n">
        <f aca="false">COUNTIF(露出ログ!$Y$5:$Y$304,"要対応")</f>
        <v>1</v>
      </c>
    </row>
    <row r="8" customFormat="false" ht="15" hidden="false" customHeight="false" outlineLevel="0" collapsed="false">
      <c r="A8" s="28" t="s">
        <v>156</v>
      </c>
      <c r="B8" s="14" t="n">
        <f aca="false">IF(B4=0,0,COUNTIFS(露出ログ!$C$5:$C$304,"?*",露出ログ!$M$5:$M$304,設定!$A$38)/B4)</f>
        <v>0.6</v>
      </c>
      <c r="C8" s="32" t="s">
        <v>157</v>
      </c>
    </row>
    <row r="11" customFormat="false" ht="15" hidden="false" customHeight="false" outlineLevel="0" collapsed="false">
      <c r="A11" s="13" t="s">
        <v>158</v>
      </c>
      <c r="C11" s="28" t="s">
        <v>159</v>
      </c>
      <c r="D11" s="33" t="n">
        <v>46113</v>
      </c>
      <c r="E11" s="32" t="s">
        <v>160</v>
      </c>
    </row>
    <row r="12" customFormat="false" ht="15" hidden="false" customHeight="false" outlineLevel="0" collapsed="false">
      <c r="A12" s="8" t="s">
        <v>161</v>
      </c>
      <c r="B12" s="8" t="s">
        <v>162</v>
      </c>
      <c r="C12" s="8" t="s">
        <v>163</v>
      </c>
      <c r="D12" s="8" t="s">
        <v>164</v>
      </c>
      <c r="E12" s="8" t="s">
        <v>155</v>
      </c>
    </row>
    <row r="13" customFormat="false" ht="15" hidden="false" customHeight="false" outlineLevel="0" collapsed="false">
      <c r="A13" s="34" t="n">
        <f aca="false">EDATE($D$11,0)</f>
        <v>46113</v>
      </c>
      <c r="B13" s="35" t="n">
        <f aca="false">COUNTIFS(露出ログ!$B$5:$B$304,"&gt;="&amp;$A13,露出ログ!$B$5:$B$304,"&lt;"&amp;EDATE($A13,1),露出ログ!$C$5:$C$304,"?*")</f>
        <v>2</v>
      </c>
      <c r="C13" s="36" t="n">
        <f aca="false">SUMIFS(露出ログ!$X$5:$X$304,露出ログ!$B$5:$B$304,"&gt;="&amp;$A13,露出ログ!$B$5:$B$304,"&lt;"&amp;EDATE($A13,1))</f>
        <v>162.1</v>
      </c>
      <c r="D13" s="37" t="n">
        <f aca="false">IF(B13=0,0,C13/B13)</f>
        <v>81.05</v>
      </c>
      <c r="E13" s="35" t="n">
        <f aca="false">COUNTIFS(露出ログ!$B$5:$B$304,"&gt;="&amp;$A13,露出ログ!$B$5:$B$304,"&lt;"&amp;EDATE($A13,1),露出ログ!$Y$5:$Y$304,"要対応")</f>
        <v>0</v>
      </c>
    </row>
    <row r="14" customFormat="false" ht="15" hidden="false" customHeight="false" outlineLevel="0" collapsed="false">
      <c r="A14" s="34" t="n">
        <f aca="false">EDATE($D$11,1)</f>
        <v>46143</v>
      </c>
      <c r="B14" s="35" t="n">
        <f aca="false">COUNTIFS(露出ログ!$B$5:$B$304,"&gt;="&amp;$A14,露出ログ!$B$5:$B$304,"&lt;"&amp;EDATE($A14,1),露出ログ!$C$5:$C$304,"?*")</f>
        <v>2</v>
      </c>
      <c r="C14" s="36" t="n">
        <f aca="false">SUMIFS(露出ログ!$X$5:$X$304,露出ログ!$B$5:$B$304,"&gt;="&amp;$A14,露出ログ!$B$5:$B$304,"&lt;"&amp;EDATE($A14,1))</f>
        <v>134.7</v>
      </c>
      <c r="D14" s="37" t="n">
        <f aca="false">IF(B14=0,0,C14/B14)</f>
        <v>67.35</v>
      </c>
      <c r="E14" s="35" t="n">
        <f aca="false">COUNTIFS(露出ログ!$B$5:$B$304,"&gt;="&amp;$A14,露出ログ!$B$5:$B$304,"&lt;"&amp;EDATE($A14,1),露出ログ!$Y$5:$Y$304,"要対応")</f>
        <v>0</v>
      </c>
    </row>
    <row r="15" customFormat="false" ht="15" hidden="false" customHeight="false" outlineLevel="0" collapsed="false">
      <c r="A15" s="34" t="n">
        <f aca="false">EDATE($D$11,2)</f>
        <v>46174</v>
      </c>
      <c r="B15" s="35" t="n">
        <f aca="false">COUNTIFS(露出ログ!$B$5:$B$304,"&gt;="&amp;$A15,露出ログ!$B$5:$B$304,"&lt;"&amp;EDATE($A15,1),露出ログ!$C$5:$C$304,"?*")</f>
        <v>1</v>
      </c>
      <c r="C15" s="36" t="n">
        <f aca="false">SUMIFS(露出ログ!$X$5:$X$304,露出ログ!$B$5:$B$304,"&gt;="&amp;$A15,露出ログ!$B$5:$B$304,"&lt;"&amp;EDATE($A15,1))</f>
        <v>-24.9</v>
      </c>
      <c r="D15" s="37" t="n">
        <f aca="false">IF(B15=0,0,C15/B15)</f>
        <v>-24.9</v>
      </c>
      <c r="E15" s="35" t="n">
        <f aca="false">COUNTIFS(露出ログ!$B$5:$B$304,"&gt;="&amp;$A15,露出ログ!$B$5:$B$304,"&lt;"&amp;EDATE($A15,1),露出ログ!$Y$5:$Y$304,"要対応")</f>
        <v>1</v>
      </c>
    </row>
    <row r="16" customFormat="false" ht="15" hidden="false" customHeight="false" outlineLevel="0" collapsed="false">
      <c r="A16" s="34" t="n">
        <f aca="false">EDATE($D$11,3)</f>
        <v>46204</v>
      </c>
      <c r="B16" s="35" t="n">
        <f aca="false">COUNTIFS(露出ログ!$B$5:$B$304,"&gt;="&amp;$A16,露出ログ!$B$5:$B$304,"&lt;"&amp;EDATE($A16,1),露出ログ!$C$5:$C$304,"?*")</f>
        <v>0</v>
      </c>
      <c r="C16" s="36" t="n">
        <f aca="false">SUMIFS(露出ログ!$X$5:$X$304,露出ログ!$B$5:$B$304,"&gt;="&amp;$A16,露出ログ!$B$5:$B$304,"&lt;"&amp;EDATE($A16,1))</f>
        <v>0</v>
      </c>
      <c r="D16" s="37" t="n">
        <f aca="false">IF(B16=0,0,C16/B16)</f>
        <v>0</v>
      </c>
      <c r="E16" s="35" t="n">
        <f aca="false">COUNTIFS(露出ログ!$B$5:$B$304,"&gt;="&amp;$A16,露出ログ!$B$5:$B$304,"&lt;"&amp;EDATE($A16,1),露出ログ!$Y$5:$Y$304,"要対応")</f>
        <v>0</v>
      </c>
    </row>
    <row r="17" customFormat="false" ht="15" hidden="false" customHeight="false" outlineLevel="0" collapsed="false">
      <c r="A17" s="34" t="n">
        <f aca="false">EDATE($D$11,4)</f>
        <v>46235</v>
      </c>
      <c r="B17" s="35" t="n">
        <f aca="false">COUNTIFS(露出ログ!$B$5:$B$304,"&gt;="&amp;$A17,露出ログ!$B$5:$B$304,"&lt;"&amp;EDATE($A17,1),露出ログ!$C$5:$C$304,"?*")</f>
        <v>0</v>
      </c>
      <c r="C17" s="36" t="n">
        <f aca="false">SUMIFS(露出ログ!$X$5:$X$304,露出ログ!$B$5:$B$304,"&gt;="&amp;$A17,露出ログ!$B$5:$B$304,"&lt;"&amp;EDATE($A17,1))</f>
        <v>0</v>
      </c>
      <c r="D17" s="37" t="n">
        <f aca="false">IF(B17=0,0,C17/B17)</f>
        <v>0</v>
      </c>
      <c r="E17" s="35" t="n">
        <f aca="false">COUNTIFS(露出ログ!$B$5:$B$304,"&gt;="&amp;$A17,露出ログ!$B$5:$B$304,"&lt;"&amp;EDATE($A17,1),露出ログ!$Y$5:$Y$304,"要対応")</f>
        <v>0</v>
      </c>
    </row>
    <row r="18" customFormat="false" ht="15" hidden="false" customHeight="false" outlineLevel="0" collapsed="false">
      <c r="A18" s="34" t="n">
        <f aca="false">EDATE($D$11,5)</f>
        <v>46266</v>
      </c>
      <c r="B18" s="35" t="n">
        <f aca="false">COUNTIFS(露出ログ!$B$5:$B$304,"&gt;="&amp;$A18,露出ログ!$B$5:$B$304,"&lt;"&amp;EDATE($A18,1),露出ログ!$C$5:$C$304,"?*")</f>
        <v>0</v>
      </c>
      <c r="C18" s="36" t="n">
        <f aca="false">SUMIFS(露出ログ!$X$5:$X$304,露出ログ!$B$5:$B$304,"&gt;="&amp;$A18,露出ログ!$B$5:$B$304,"&lt;"&amp;EDATE($A18,1))</f>
        <v>0</v>
      </c>
      <c r="D18" s="37" t="n">
        <f aca="false">IF(B18=0,0,C18/B18)</f>
        <v>0</v>
      </c>
      <c r="E18" s="35" t="n">
        <f aca="false">COUNTIFS(露出ログ!$B$5:$B$304,"&gt;="&amp;$A18,露出ログ!$B$5:$B$304,"&lt;"&amp;EDATE($A18,1),露出ログ!$Y$5:$Y$304,"要対応")</f>
        <v>0</v>
      </c>
    </row>
    <row r="19" customFormat="false" ht="15" hidden="false" customHeight="false" outlineLevel="0" collapsed="false">
      <c r="A19" s="34" t="n">
        <f aca="false">EDATE($D$11,6)</f>
        <v>46296</v>
      </c>
      <c r="B19" s="35" t="n">
        <f aca="false">COUNTIFS(露出ログ!$B$5:$B$304,"&gt;="&amp;$A19,露出ログ!$B$5:$B$304,"&lt;"&amp;EDATE($A19,1),露出ログ!$C$5:$C$304,"?*")</f>
        <v>0</v>
      </c>
      <c r="C19" s="36" t="n">
        <f aca="false">SUMIFS(露出ログ!$X$5:$X$304,露出ログ!$B$5:$B$304,"&gt;="&amp;$A19,露出ログ!$B$5:$B$304,"&lt;"&amp;EDATE($A19,1))</f>
        <v>0</v>
      </c>
      <c r="D19" s="37" t="n">
        <f aca="false">IF(B19=0,0,C19/B19)</f>
        <v>0</v>
      </c>
      <c r="E19" s="35" t="n">
        <f aca="false">COUNTIFS(露出ログ!$B$5:$B$304,"&gt;="&amp;$A19,露出ログ!$B$5:$B$304,"&lt;"&amp;EDATE($A19,1),露出ログ!$Y$5:$Y$304,"要対応")</f>
        <v>0</v>
      </c>
    </row>
    <row r="20" customFormat="false" ht="15" hidden="false" customHeight="false" outlineLevel="0" collapsed="false">
      <c r="A20" s="34" t="n">
        <f aca="false">EDATE($D$11,7)</f>
        <v>46327</v>
      </c>
      <c r="B20" s="35" t="n">
        <f aca="false">COUNTIFS(露出ログ!$B$5:$B$304,"&gt;="&amp;$A20,露出ログ!$B$5:$B$304,"&lt;"&amp;EDATE($A20,1),露出ログ!$C$5:$C$304,"?*")</f>
        <v>0</v>
      </c>
      <c r="C20" s="36" t="n">
        <f aca="false">SUMIFS(露出ログ!$X$5:$X$304,露出ログ!$B$5:$B$304,"&gt;="&amp;$A20,露出ログ!$B$5:$B$304,"&lt;"&amp;EDATE($A20,1))</f>
        <v>0</v>
      </c>
      <c r="D20" s="37" t="n">
        <f aca="false">IF(B20=0,0,C20/B20)</f>
        <v>0</v>
      </c>
      <c r="E20" s="35" t="n">
        <f aca="false">COUNTIFS(露出ログ!$B$5:$B$304,"&gt;="&amp;$A20,露出ログ!$B$5:$B$304,"&lt;"&amp;EDATE($A20,1),露出ログ!$Y$5:$Y$304,"要対応")</f>
        <v>0</v>
      </c>
    </row>
    <row r="21" customFormat="false" ht="15" hidden="false" customHeight="false" outlineLevel="0" collapsed="false">
      <c r="A21" s="34" t="n">
        <f aca="false">EDATE($D$11,8)</f>
        <v>46357</v>
      </c>
      <c r="B21" s="35" t="n">
        <f aca="false">COUNTIFS(露出ログ!$B$5:$B$304,"&gt;="&amp;$A21,露出ログ!$B$5:$B$304,"&lt;"&amp;EDATE($A21,1),露出ログ!$C$5:$C$304,"?*")</f>
        <v>0</v>
      </c>
      <c r="C21" s="36" t="n">
        <f aca="false">SUMIFS(露出ログ!$X$5:$X$304,露出ログ!$B$5:$B$304,"&gt;="&amp;$A21,露出ログ!$B$5:$B$304,"&lt;"&amp;EDATE($A21,1))</f>
        <v>0</v>
      </c>
      <c r="D21" s="37" t="n">
        <f aca="false">IF(B21=0,0,C21/B21)</f>
        <v>0</v>
      </c>
      <c r="E21" s="35" t="n">
        <f aca="false">COUNTIFS(露出ログ!$B$5:$B$304,"&gt;="&amp;$A21,露出ログ!$B$5:$B$304,"&lt;"&amp;EDATE($A21,1),露出ログ!$Y$5:$Y$304,"要対応")</f>
        <v>0</v>
      </c>
    </row>
    <row r="22" customFormat="false" ht="15" hidden="false" customHeight="false" outlineLevel="0" collapsed="false">
      <c r="A22" s="34" t="n">
        <f aca="false">EDATE($D$11,9)</f>
        <v>46388</v>
      </c>
      <c r="B22" s="35" t="n">
        <f aca="false">COUNTIFS(露出ログ!$B$5:$B$304,"&gt;="&amp;$A22,露出ログ!$B$5:$B$304,"&lt;"&amp;EDATE($A22,1),露出ログ!$C$5:$C$304,"?*")</f>
        <v>0</v>
      </c>
      <c r="C22" s="36" t="n">
        <f aca="false">SUMIFS(露出ログ!$X$5:$X$304,露出ログ!$B$5:$B$304,"&gt;="&amp;$A22,露出ログ!$B$5:$B$304,"&lt;"&amp;EDATE($A22,1))</f>
        <v>0</v>
      </c>
      <c r="D22" s="37" t="n">
        <f aca="false">IF(B22=0,0,C22/B22)</f>
        <v>0</v>
      </c>
      <c r="E22" s="35" t="n">
        <f aca="false">COUNTIFS(露出ログ!$B$5:$B$304,"&gt;="&amp;$A22,露出ログ!$B$5:$B$304,"&lt;"&amp;EDATE($A22,1),露出ログ!$Y$5:$Y$304,"要対応")</f>
        <v>0</v>
      </c>
    </row>
    <row r="23" customFormat="false" ht="15" hidden="false" customHeight="false" outlineLevel="0" collapsed="false">
      <c r="A23" s="34" t="n">
        <f aca="false">EDATE($D$11,10)</f>
        <v>46419</v>
      </c>
      <c r="B23" s="35" t="n">
        <f aca="false">COUNTIFS(露出ログ!$B$5:$B$304,"&gt;="&amp;$A23,露出ログ!$B$5:$B$304,"&lt;"&amp;EDATE($A23,1),露出ログ!$C$5:$C$304,"?*")</f>
        <v>0</v>
      </c>
      <c r="C23" s="36" t="n">
        <f aca="false">SUMIFS(露出ログ!$X$5:$X$304,露出ログ!$B$5:$B$304,"&gt;="&amp;$A23,露出ログ!$B$5:$B$304,"&lt;"&amp;EDATE($A23,1))</f>
        <v>0</v>
      </c>
      <c r="D23" s="37" t="n">
        <f aca="false">IF(B23=0,0,C23/B23)</f>
        <v>0</v>
      </c>
      <c r="E23" s="35" t="n">
        <f aca="false">COUNTIFS(露出ログ!$B$5:$B$304,"&gt;="&amp;$A23,露出ログ!$B$5:$B$304,"&lt;"&amp;EDATE($A23,1),露出ログ!$Y$5:$Y$304,"要対応")</f>
        <v>0</v>
      </c>
    </row>
    <row r="24" customFormat="false" ht="15" hidden="false" customHeight="false" outlineLevel="0" collapsed="false">
      <c r="A24" s="34" t="n">
        <f aca="false">EDATE($D$11,11)</f>
        <v>46447</v>
      </c>
      <c r="B24" s="35" t="n">
        <f aca="false">COUNTIFS(露出ログ!$B$5:$B$304,"&gt;="&amp;$A24,露出ログ!$B$5:$B$304,"&lt;"&amp;EDATE($A24,1),露出ログ!$C$5:$C$304,"?*")</f>
        <v>0</v>
      </c>
      <c r="C24" s="36" t="n">
        <f aca="false">SUMIFS(露出ログ!$X$5:$X$304,露出ログ!$B$5:$B$304,"&gt;="&amp;$A24,露出ログ!$B$5:$B$304,"&lt;"&amp;EDATE($A24,1))</f>
        <v>0</v>
      </c>
      <c r="D24" s="37" t="n">
        <f aca="false">IF(B24=0,0,C24/B24)</f>
        <v>0</v>
      </c>
      <c r="E24" s="35" t="n">
        <f aca="false">COUNTIFS(露出ログ!$B$5:$B$304,"&gt;="&amp;$A24,露出ログ!$B$5:$B$304,"&lt;"&amp;EDATE($A24,1),露出ログ!$Y$5:$Y$304,"要対応")</f>
        <v>0</v>
      </c>
    </row>
    <row r="25" customFormat="false" ht="15" hidden="false" customHeight="false" outlineLevel="0" collapsed="false">
      <c r="A25" s="13" t="s">
        <v>36</v>
      </c>
      <c r="B25" s="13" t="n">
        <f aca="false">SUM(B13:B24)</f>
        <v>5</v>
      </c>
      <c r="C25" s="13" t="n">
        <f aca="false">SUM(C13:C24)</f>
        <v>271.9</v>
      </c>
      <c r="D25" s="31" t="n">
        <f aca="false">IF(B25=0,0,C25/B25)</f>
        <v>54.38</v>
      </c>
      <c r="E25" s="13" t="n">
        <f aca="false">SUM(E13:E24)</f>
        <v>1</v>
      </c>
    </row>
    <row r="28" customFormat="false" ht="15" hidden="false" customHeight="false" outlineLevel="0" collapsed="false">
      <c r="A28" s="13" t="s">
        <v>165</v>
      </c>
    </row>
    <row r="29" customFormat="false" ht="15" hidden="false" customHeight="false" outlineLevel="0" collapsed="false">
      <c r="A29" s="8" t="s">
        <v>108</v>
      </c>
      <c r="B29" s="8" t="s">
        <v>162</v>
      </c>
      <c r="C29" s="8" t="s">
        <v>163</v>
      </c>
      <c r="D29" s="8" t="s">
        <v>164</v>
      </c>
      <c r="E29" s="8" t="s">
        <v>166</v>
      </c>
    </row>
    <row r="30" customFormat="false" ht="15" hidden="false" customHeight="false" outlineLevel="0" collapsed="false">
      <c r="A30" s="38" t="str">
        <f aca="false">設定!A57</f>
        <v>新聞</v>
      </c>
      <c r="B30" s="35" t="n">
        <f aca="false">IF($A30="",0,COUNTIFS(露出ログ!$D$5:$D$304,$A30,露出ログ!$C$5:$C$304,"?*"))</f>
        <v>1</v>
      </c>
      <c r="C30" s="36" t="n">
        <f aca="false">IF($A30="",0,SUMIFS(露出ログ!$X$5:$X$304,露出ログ!$D$5:$D$304,$A30))</f>
        <v>79.4</v>
      </c>
      <c r="D30" s="37" t="n">
        <f aca="false">IF(B30=0,0,C30/B30)</f>
        <v>79.4</v>
      </c>
      <c r="E30" s="39" t="n">
        <f aca="false">IF($B$5=0,0,C30/$B$5)</f>
        <v>0.292019124678191</v>
      </c>
    </row>
    <row r="31" customFormat="false" ht="15" hidden="false" customHeight="false" outlineLevel="0" collapsed="false">
      <c r="A31" s="38" t="str">
        <f aca="false">設定!A58</f>
        <v>テレビ</v>
      </c>
      <c r="B31" s="35" t="n">
        <f aca="false">IF($A31="",0,COUNTIFS(露出ログ!$D$5:$D$304,$A31,露出ログ!$C$5:$C$304,"?*"))</f>
        <v>1</v>
      </c>
      <c r="C31" s="36" t="n">
        <f aca="false">IF($A31="",0,SUMIFS(露出ログ!$X$5:$X$304,露出ログ!$D$5:$D$304,$A31))</f>
        <v>87.2</v>
      </c>
      <c r="D31" s="37" t="n">
        <f aca="false">IF(B31=0,0,C31/B31)</f>
        <v>87.2</v>
      </c>
      <c r="E31" s="39" t="n">
        <f aca="false">IF($B$5=0,0,C31/$B$5)</f>
        <v>0.320706141963957</v>
      </c>
    </row>
    <row r="32" customFormat="false" ht="15" hidden="false" customHeight="false" outlineLevel="0" collapsed="false">
      <c r="A32" s="38" t="str">
        <f aca="false">設定!A59</f>
        <v>ラジオ</v>
      </c>
      <c r="B32" s="35" t="n">
        <f aca="false">IF($A32="",0,COUNTIFS(露出ログ!$D$5:$D$304,$A32,露出ログ!$C$5:$C$304,"?*"))</f>
        <v>0</v>
      </c>
      <c r="C32" s="36" t="n">
        <f aca="false">IF($A32="",0,SUMIFS(露出ログ!$X$5:$X$304,露出ログ!$D$5:$D$304,$A32))</f>
        <v>0</v>
      </c>
      <c r="D32" s="37" t="n">
        <f aca="false">IF(B32=0,0,C32/B32)</f>
        <v>0</v>
      </c>
      <c r="E32" s="39" t="n">
        <f aca="false">IF($B$5=0,0,C32/$B$5)</f>
        <v>0</v>
      </c>
    </row>
    <row r="33" customFormat="false" ht="15" hidden="false" customHeight="false" outlineLevel="0" collapsed="false">
      <c r="A33" s="38" t="str">
        <f aca="false">設定!A60</f>
        <v>雑誌</v>
      </c>
      <c r="B33" s="35" t="n">
        <f aca="false">IF($A33="",0,COUNTIFS(露出ログ!$D$5:$D$304,$A33,露出ログ!$C$5:$C$304,"?*"))</f>
        <v>1</v>
      </c>
      <c r="C33" s="36" t="n">
        <f aca="false">IF($A33="",0,SUMIFS(露出ログ!$X$5:$X$304,露出ログ!$D$5:$D$304,$A33))</f>
        <v>-24.9</v>
      </c>
      <c r="D33" s="37" t="n">
        <f aca="false">IF(B33=0,0,C33/B33)</f>
        <v>-24.9</v>
      </c>
      <c r="E33" s="39" t="n">
        <f aca="false">IF($B$5=0,0,C33/$B$5)</f>
        <v>-0.0915777859507172</v>
      </c>
    </row>
    <row r="34" customFormat="false" ht="15" hidden="false" customHeight="false" outlineLevel="0" collapsed="false">
      <c r="A34" s="38" t="str">
        <f aca="false">設定!A61</f>
        <v>Webニュース</v>
      </c>
      <c r="B34" s="35" t="n">
        <f aca="false">IF($A34="",0,COUNTIFS(露出ログ!$D$5:$D$304,$A34,露出ログ!$C$5:$C$304,"?*"))</f>
        <v>1</v>
      </c>
      <c r="C34" s="36" t="n">
        <f aca="false">IF($A34="",0,SUMIFS(露出ログ!$X$5:$X$304,露出ログ!$D$5:$D$304,$A34))</f>
        <v>47.5</v>
      </c>
      <c r="D34" s="37" t="n">
        <f aca="false">IF(B34=0,0,C34/B34)</f>
        <v>47.5</v>
      </c>
      <c r="E34" s="39" t="n">
        <f aca="false">IF($B$5=0,0,C34/$B$5)</f>
        <v>0.174696579624862</v>
      </c>
    </row>
    <row r="35" customFormat="false" ht="15" hidden="false" customHeight="false" outlineLevel="0" collapsed="false">
      <c r="A35" s="38" t="str">
        <f aca="false">設定!A62</f>
        <v>業界専門紙誌</v>
      </c>
      <c r="B35" s="35" t="n">
        <f aca="false">IF($A35="",0,COUNTIFS(露出ログ!$D$5:$D$304,$A35,露出ログ!$C$5:$C$304,"?*"))</f>
        <v>1</v>
      </c>
      <c r="C35" s="36" t="n">
        <f aca="false">IF($A35="",0,SUMIFS(露出ログ!$X$5:$X$304,露出ログ!$D$5:$D$304,$A35))</f>
        <v>82.7</v>
      </c>
      <c r="D35" s="37" t="n">
        <f aca="false">IF(B35=0,0,C35/B35)</f>
        <v>82.7</v>
      </c>
      <c r="E35" s="39" t="n">
        <f aca="false">IF($B$5=0,0,C35/$B$5)</f>
        <v>0.304155939683707</v>
      </c>
    </row>
    <row r="36" customFormat="false" ht="15" hidden="false" customHeight="false" outlineLevel="0" collapsed="false">
      <c r="A36" s="38" t="str">
        <f aca="false">設定!A63</f>
        <v>SNS・動画</v>
      </c>
      <c r="B36" s="35" t="n">
        <f aca="false">IF($A36="",0,COUNTIFS(露出ログ!$D$5:$D$304,$A36,露出ログ!$C$5:$C$304,"?*"))</f>
        <v>0</v>
      </c>
      <c r="C36" s="36" t="n">
        <f aca="false">IF($A36="",0,SUMIFS(露出ログ!$X$5:$X$304,露出ログ!$D$5:$D$304,$A36))</f>
        <v>0</v>
      </c>
      <c r="D36" s="37" t="n">
        <f aca="false">IF(B36=0,0,C36/B36)</f>
        <v>0</v>
      </c>
      <c r="E36" s="39" t="n">
        <f aca="false">IF($B$5=0,0,C36/$B$5)</f>
        <v>0</v>
      </c>
    </row>
    <row r="37" customFormat="false" ht="15" hidden="false" customHeight="false" outlineLevel="0" collapsed="false">
      <c r="A37" s="38" t="str">
        <f aca="false">設定!A64</f>
        <v>その他</v>
      </c>
      <c r="B37" s="35" t="n">
        <f aca="false">IF($A37="",0,COUNTIFS(露出ログ!$D$5:$D$304,$A37,露出ログ!$C$5:$C$304,"?*"))</f>
        <v>0</v>
      </c>
      <c r="C37" s="36" t="n">
        <f aca="false">IF($A37="",0,SUMIFS(露出ログ!$X$5:$X$304,露出ログ!$D$5:$D$304,$A37))</f>
        <v>0</v>
      </c>
      <c r="D37" s="37" t="n">
        <f aca="false">IF(B37=0,0,C37/B37)</f>
        <v>0</v>
      </c>
      <c r="E37" s="39" t="n">
        <f aca="false">IF($B$5=0,0,C37/$B$5)</f>
        <v>0</v>
      </c>
    </row>
    <row r="40" customFormat="false" ht="15" hidden="false" customHeight="false" outlineLevel="0" collapsed="false">
      <c r="A40" s="13" t="s">
        <v>167</v>
      </c>
    </row>
    <row r="41" customFormat="false" ht="15" hidden="false" customHeight="false" outlineLevel="0" collapsed="false">
      <c r="A41" s="8" t="s">
        <v>99</v>
      </c>
      <c r="B41" s="8" t="s">
        <v>162</v>
      </c>
    </row>
    <row r="42" customFormat="false" ht="15" hidden="false" customHeight="false" outlineLevel="0" collapsed="false">
      <c r="A42" s="38" t="str">
        <f aca="false">設定!B53</f>
        <v>S</v>
      </c>
      <c r="B42" s="18" t="n">
        <f aca="false">COUNTIF(露出ログ!$Y$5:$Y$304,A42)</f>
        <v>3</v>
      </c>
    </row>
    <row r="43" customFormat="false" ht="15" hidden="false" customHeight="false" outlineLevel="0" collapsed="false">
      <c r="A43" s="38" t="str">
        <f aca="false">設定!B52</f>
        <v>A</v>
      </c>
      <c r="B43" s="18" t="n">
        <f aca="false">COUNTIF(露出ログ!$Y$5:$Y$304,A43)</f>
        <v>0</v>
      </c>
    </row>
    <row r="44" customFormat="false" ht="15" hidden="false" customHeight="false" outlineLevel="0" collapsed="false">
      <c r="A44" s="38" t="str">
        <f aca="false">設定!B51</f>
        <v>B</v>
      </c>
      <c r="B44" s="18" t="n">
        <f aca="false">COUNTIF(露出ログ!$Y$5:$Y$304,A44)</f>
        <v>1</v>
      </c>
    </row>
    <row r="45" customFormat="false" ht="15" hidden="false" customHeight="false" outlineLevel="0" collapsed="false">
      <c r="A45" s="38" t="str">
        <f aca="false">設定!B50</f>
        <v>C</v>
      </c>
      <c r="B45" s="18" t="n">
        <f aca="false">COUNTIF(露出ログ!$Y$5:$Y$304,A45)</f>
        <v>0</v>
      </c>
    </row>
    <row r="46" customFormat="false" ht="15" hidden="false" customHeight="false" outlineLevel="0" collapsed="false">
      <c r="A46" s="38" t="str">
        <f aca="false">設定!B49</f>
        <v>要対応</v>
      </c>
      <c r="B46" s="18" t="n">
        <f aca="false">COUNTIF(露出ログ!$Y$5:$Y$304,A46)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2026-10-16T05:58:11Z</dcterms:created>
  <dc:creator>openpyxl</dc:creator>
  <dc:description/>
  <dc:language>en-US</dc:language>
  <cp:lastModifiedBy/>
  <dcterms:modified xsi:type="dcterms:W3CDTF">2026-10-16T05:58:14Z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